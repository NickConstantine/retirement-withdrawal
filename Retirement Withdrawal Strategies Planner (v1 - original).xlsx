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ev\Sandbox\- output\"/>
    </mc:Choice>
  </mc:AlternateContent>
  <xr:revisionPtr revIDLastSave="0" documentId="13_ncr:1_{B79154EF-0829-4CE8-BE08-6881385A5842}" xr6:coauthVersionLast="47" xr6:coauthVersionMax="47" xr10:uidLastSave="{00000000-0000-0000-0000-000000000000}"/>
  <bookViews>
    <workbookView xWindow="9750" yWindow="-18855" windowWidth="23280" windowHeight="16995" xr2:uid="{00000000-000D-0000-FFFF-FFFF00000000}"/>
  </bookViews>
  <sheets>
    <sheet name="Instructions" sheetId="1" r:id="rId1"/>
    <sheet name="Inputs &amp; Summary" sheetId="2" r:id="rId2"/>
    <sheet name="Dynamic Strategy" sheetId="3" r:id="rId3"/>
    <sheet name="4% Rule" sheetId="4" r:id="rId4"/>
    <sheet name="Life Expectancy" sheetId="5" r:id="rId5"/>
    <sheet name="Articl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5" l="1"/>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F17" i="5"/>
  <c r="B81" i="5" s="1"/>
  <c r="C17" i="5"/>
  <c r="F16" i="5"/>
  <c r="C16" i="5"/>
  <c r="F15" i="5"/>
  <c r="C15" i="5"/>
  <c r="F14" i="5"/>
  <c r="C14" i="5"/>
  <c r="F13" i="5"/>
  <c r="C13" i="5"/>
  <c r="F12" i="5"/>
  <c r="C12" i="5"/>
  <c r="F11" i="5"/>
  <c r="C11" i="5"/>
  <c r="F10" i="5"/>
  <c r="C10" i="5"/>
  <c r="F9" i="5"/>
  <c r="C9" i="5"/>
  <c r="F8" i="5"/>
  <c r="C8" i="5"/>
  <c r="F7" i="5"/>
  <c r="C7" i="5"/>
  <c r="F6" i="5"/>
  <c r="E6" i="5"/>
  <c r="C6" i="5"/>
  <c r="B6" i="5"/>
  <c r="C50" i="4"/>
  <c r="D50" i="3" s="1"/>
  <c r="B50" i="4"/>
  <c r="C49" i="4"/>
  <c r="D49" i="3" s="1"/>
  <c r="B49" i="4"/>
  <c r="C48" i="4"/>
  <c r="D48" i="3" s="1"/>
  <c r="B48" i="4"/>
  <c r="C47" i="4"/>
  <c r="D47" i="3" s="1"/>
  <c r="B47" i="4"/>
  <c r="C46" i="4"/>
  <c r="D46" i="3" s="1"/>
  <c r="B46" i="4"/>
  <c r="C45" i="4"/>
  <c r="D45" i="3" s="1"/>
  <c r="B45" i="4"/>
  <c r="C44" i="4"/>
  <c r="D44" i="3" s="1"/>
  <c r="B44" i="4"/>
  <c r="C43" i="4"/>
  <c r="D43" i="3" s="1"/>
  <c r="B43" i="4"/>
  <c r="C42" i="4"/>
  <c r="D42" i="3" s="1"/>
  <c r="B42" i="4"/>
  <c r="C41" i="4"/>
  <c r="D41" i="3" s="1"/>
  <c r="B41" i="4"/>
  <c r="C40" i="4"/>
  <c r="D40" i="3" s="1"/>
  <c r="B40" i="4"/>
  <c r="C39" i="4"/>
  <c r="D39" i="3" s="1"/>
  <c r="B39" i="4"/>
  <c r="C38" i="4"/>
  <c r="D38" i="3" s="1"/>
  <c r="B38" i="4"/>
  <c r="C37" i="4"/>
  <c r="D37" i="3" s="1"/>
  <c r="B37" i="4"/>
  <c r="C36" i="4"/>
  <c r="D36" i="3" s="1"/>
  <c r="B36" i="4"/>
  <c r="C35" i="4"/>
  <c r="D35" i="3" s="1"/>
  <c r="B35" i="4"/>
  <c r="C34" i="4"/>
  <c r="D34" i="3" s="1"/>
  <c r="B34" i="4"/>
  <c r="C33" i="4"/>
  <c r="D33" i="3" s="1"/>
  <c r="B33" i="4"/>
  <c r="C32" i="4"/>
  <c r="D32" i="3" s="1"/>
  <c r="B32" i="4"/>
  <c r="C31" i="4"/>
  <c r="D31" i="3" s="1"/>
  <c r="B31" i="4"/>
  <c r="C30" i="4"/>
  <c r="D30" i="3" s="1"/>
  <c r="B30" i="4"/>
  <c r="C29" i="4"/>
  <c r="D29" i="3" s="1"/>
  <c r="B29" i="4"/>
  <c r="C28" i="4"/>
  <c r="D28" i="3" s="1"/>
  <c r="B28" i="4"/>
  <c r="C27" i="4"/>
  <c r="D27" i="3" s="1"/>
  <c r="B27" i="4"/>
  <c r="C26" i="4"/>
  <c r="D26" i="3" s="1"/>
  <c r="B26" i="4"/>
  <c r="C25" i="4"/>
  <c r="D25" i="3" s="1"/>
  <c r="B25" i="4"/>
  <c r="C24" i="4"/>
  <c r="D24" i="3" s="1"/>
  <c r="B24" i="4"/>
  <c r="C23" i="4"/>
  <c r="D23" i="3" s="1"/>
  <c r="B23" i="4"/>
  <c r="C22" i="4"/>
  <c r="D22" i="3" s="1"/>
  <c r="B22" i="4"/>
  <c r="C21" i="4"/>
  <c r="D21" i="3" s="1"/>
  <c r="B21" i="4"/>
  <c r="C20" i="4"/>
  <c r="D20" i="3" s="1"/>
  <c r="B20" i="4"/>
  <c r="C19" i="4"/>
  <c r="D19" i="3" s="1"/>
  <c r="B19" i="4"/>
  <c r="C18" i="4"/>
  <c r="D18" i="3" s="1"/>
  <c r="B18" i="4"/>
  <c r="C17" i="4"/>
  <c r="D17" i="3" s="1"/>
  <c r="B17" i="4"/>
  <c r="C16" i="4"/>
  <c r="D16" i="3" s="1"/>
  <c r="B16" i="4"/>
  <c r="C15" i="4"/>
  <c r="D15" i="3" s="1"/>
  <c r="B15" i="4"/>
  <c r="C14" i="4"/>
  <c r="D14" i="3" s="1"/>
  <c r="B14" i="4"/>
  <c r="C13" i="4"/>
  <c r="D13" i="3" s="1"/>
  <c r="B13" i="4"/>
  <c r="C12" i="4"/>
  <c r="D12" i="3" s="1"/>
  <c r="B12" i="4"/>
  <c r="C11" i="4"/>
  <c r="D11" i="3" s="1"/>
  <c r="B11" i="4"/>
  <c r="C10" i="4"/>
  <c r="D10" i="3" s="1"/>
  <c r="B10" i="4"/>
  <c r="C9" i="4"/>
  <c r="D9" i="3" s="1"/>
  <c r="B9" i="4"/>
  <c r="C8" i="4"/>
  <c r="D8" i="3" s="1"/>
  <c r="B8" i="4"/>
  <c r="C7" i="4"/>
  <c r="D7" i="3" s="1"/>
  <c r="B7" i="4"/>
  <c r="C6" i="4"/>
  <c r="D6" i="3" s="1"/>
  <c r="B6" i="4"/>
  <c r="D5" i="4"/>
  <c r="C5" i="4"/>
  <c r="D5" i="3" s="1"/>
  <c r="B5" i="4"/>
  <c r="B50" i="3"/>
  <c r="B49" i="3"/>
  <c r="B48" i="3"/>
  <c r="B47" i="3"/>
  <c r="B46" i="3"/>
  <c r="N45" i="3"/>
  <c r="B45" i="3"/>
  <c r="B44" i="3"/>
  <c r="B43" i="3"/>
  <c r="B42" i="3"/>
  <c r="B41" i="3"/>
  <c r="B40" i="3"/>
  <c r="B39" i="3"/>
  <c r="B38" i="3"/>
  <c r="B37" i="3"/>
  <c r="B36" i="3"/>
  <c r="B35" i="3"/>
  <c r="B34" i="3"/>
  <c r="N34" i="3" s="1"/>
  <c r="B33" i="3"/>
  <c r="B32" i="3"/>
  <c r="B31" i="3"/>
  <c r="B30" i="3"/>
  <c r="B29" i="3"/>
  <c r="B28" i="3"/>
  <c r="B27" i="3"/>
  <c r="B26" i="3"/>
  <c r="B25" i="3"/>
  <c r="B24" i="3"/>
  <c r="B23" i="3"/>
  <c r="B22" i="3"/>
  <c r="B21" i="3"/>
  <c r="B20" i="3"/>
  <c r="B19" i="3"/>
  <c r="B18" i="3"/>
  <c r="B17" i="3"/>
  <c r="B16" i="3"/>
  <c r="B15" i="3"/>
  <c r="B14" i="3"/>
  <c r="N14" i="3" s="1"/>
  <c r="B13" i="3"/>
  <c r="B12" i="3"/>
  <c r="B11" i="3"/>
  <c r="B10" i="3"/>
  <c r="B9" i="3"/>
  <c r="B8" i="3"/>
  <c r="B7" i="3"/>
  <c r="B6" i="3"/>
  <c r="E5" i="3"/>
  <c r="B5" i="3"/>
  <c r="F21" i="2"/>
  <c r="J16" i="2"/>
  <c r="I16" i="2"/>
  <c r="J15" i="2"/>
  <c r="I15" i="2"/>
  <c r="I14" i="2"/>
  <c r="I13" i="2"/>
  <c r="I12" i="2"/>
  <c r="F7" i="2"/>
  <c r="B37" i="5" l="1"/>
  <c r="C21" i="3" s="1"/>
  <c r="B35" i="5"/>
  <c r="C19" i="3" s="1"/>
  <c r="B31" i="5"/>
  <c r="C15" i="3" s="1"/>
  <c r="B29" i="5"/>
  <c r="C13" i="3" s="1"/>
  <c r="B27" i="5"/>
  <c r="C11" i="3" s="1"/>
  <c r="B25" i="5"/>
  <c r="C9" i="3" s="1"/>
  <c r="B23" i="5"/>
  <c r="C7" i="3" s="1"/>
  <c r="B21" i="5"/>
  <c r="C5" i="3" s="1"/>
  <c r="F5" i="3" s="1"/>
  <c r="G5" i="3" s="1"/>
  <c r="H5" i="3" s="1"/>
  <c r="B19" i="5"/>
  <c r="B17" i="5"/>
  <c r="B16" i="5"/>
  <c r="B15" i="5"/>
  <c r="B14" i="5"/>
  <c r="B13" i="5"/>
  <c r="B12" i="5"/>
  <c r="B11" i="5"/>
  <c r="B10" i="5"/>
  <c r="B9" i="5"/>
  <c r="B36" i="5"/>
  <c r="C20" i="3" s="1"/>
  <c r="B34" i="5"/>
  <c r="C18" i="3" s="1"/>
  <c r="B33" i="5"/>
  <c r="C17" i="3" s="1"/>
  <c r="B32" i="5"/>
  <c r="C16" i="3" s="1"/>
  <c r="B30" i="5"/>
  <c r="C14" i="3" s="1"/>
  <c r="B28" i="5"/>
  <c r="C12" i="3" s="1"/>
  <c r="B26" i="5"/>
  <c r="C10" i="3" s="1"/>
  <c r="B24" i="5"/>
  <c r="C8" i="3" s="1"/>
  <c r="B22" i="5"/>
  <c r="C6" i="3" s="1"/>
  <c r="B20" i="5"/>
  <c r="B18" i="5"/>
  <c r="B79" i="5"/>
  <c r="B80" i="5"/>
  <c r="B78" i="5"/>
  <c r="B77" i="5"/>
  <c r="B76" i="5"/>
  <c r="B71" i="5"/>
  <c r="B75" i="5"/>
  <c r="B74" i="5"/>
  <c r="B73" i="5"/>
  <c r="B72" i="5"/>
  <c r="B66" i="5"/>
  <c r="B67" i="5"/>
  <c r="B68" i="5"/>
  <c r="B69" i="5"/>
  <c r="B70" i="5"/>
  <c r="B61" i="5"/>
  <c r="C45" i="3" s="1"/>
  <c r="B62" i="5"/>
  <c r="C46" i="3" s="1"/>
  <c r="B63" i="5"/>
  <c r="C47" i="3" s="1"/>
  <c r="B64" i="5"/>
  <c r="B65" i="5"/>
  <c r="B57" i="5"/>
  <c r="C41" i="3" s="1"/>
  <c r="B58" i="5"/>
  <c r="C42" i="3" s="1"/>
  <c r="B59" i="5"/>
  <c r="C43" i="3" s="1"/>
  <c r="B60" i="5"/>
  <c r="C44" i="3" s="1"/>
  <c r="B56" i="5"/>
  <c r="C40" i="3" s="1"/>
  <c r="B52" i="5"/>
  <c r="C36" i="3" s="1"/>
  <c r="B53" i="5"/>
  <c r="C37" i="3" s="1"/>
  <c r="B54" i="5"/>
  <c r="C38" i="3" s="1"/>
  <c r="B55" i="5"/>
  <c r="C39" i="3" s="1"/>
  <c r="B51" i="5"/>
  <c r="C35" i="3" s="1"/>
  <c r="B47" i="5"/>
  <c r="C31" i="3" s="1"/>
  <c r="B50" i="5"/>
  <c r="C34" i="3" s="1"/>
  <c r="B49" i="5"/>
  <c r="C33" i="3" s="1"/>
  <c r="B48" i="5"/>
  <c r="C32" i="3" s="1"/>
  <c r="B46" i="5"/>
  <c r="C30" i="3" s="1"/>
  <c r="B38" i="5"/>
  <c r="C22" i="3" s="1"/>
  <c r="B39" i="5"/>
  <c r="C23" i="3" s="1"/>
  <c r="B45" i="5"/>
  <c r="C29" i="3" s="1"/>
  <c r="B44" i="5"/>
  <c r="C28" i="3" s="1"/>
  <c r="B43" i="5"/>
  <c r="C27" i="3" s="1"/>
  <c r="B42" i="5"/>
  <c r="C26" i="3" s="1"/>
  <c r="B41" i="5"/>
  <c r="C25" i="3" s="1"/>
  <c r="B40" i="5"/>
  <c r="C24" i="3" s="1"/>
  <c r="B8" i="5"/>
  <c r="B7" i="5"/>
  <c r="E5" i="4"/>
  <c r="N50" i="3"/>
  <c r="C50" i="3"/>
  <c r="C49" i="3"/>
  <c r="N49" i="3"/>
  <c r="C48" i="3"/>
  <c r="N48" i="3"/>
  <c r="N47" i="3"/>
  <c r="N46" i="3"/>
  <c r="N44" i="3"/>
  <c r="N43" i="3"/>
  <c r="N42" i="3"/>
  <c r="N41" i="3"/>
  <c r="N40" i="3"/>
  <c r="N39" i="3"/>
  <c r="N38" i="3"/>
  <c r="N37" i="3"/>
  <c r="N36" i="3"/>
  <c r="N35" i="3"/>
  <c r="N33" i="3"/>
  <c r="N32" i="3"/>
  <c r="N31" i="3"/>
  <c r="N30" i="3"/>
  <c r="N29" i="3"/>
  <c r="N28" i="3"/>
  <c r="N27" i="3"/>
  <c r="N26" i="3"/>
  <c r="N25" i="3"/>
  <c r="N24" i="3"/>
  <c r="N23" i="3"/>
  <c r="N22" i="3"/>
  <c r="N21" i="3"/>
  <c r="N20" i="3"/>
  <c r="N19" i="3"/>
  <c r="N18" i="3"/>
  <c r="N17" i="3"/>
  <c r="N16" i="3"/>
  <c r="N15" i="3"/>
  <c r="N13" i="3"/>
  <c r="N12" i="3"/>
  <c r="N11" i="3"/>
  <c r="N10" i="3"/>
  <c r="N9" i="3"/>
  <c r="N8" i="3"/>
  <c r="N7" i="3"/>
  <c r="N6" i="3"/>
  <c r="N5" i="3"/>
  <c r="F5" i="4" l="1"/>
  <c r="F9" i="2"/>
  <c r="I5" i="3"/>
  <c r="J5" i="3"/>
  <c r="O5" i="3"/>
  <c r="P5" i="3" s="1"/>
  <c r="F13" i="2"/>
  <c r="G5" i="4"/>
  <c r="H5" i="4" s="1"/>
  <c r="K5" i="3"/>
  <c r="L5" i="3"/>
  <c r="D6" i="4" l="1"/>
  <c r="I5" i="4"/>
  <c r="E6" i="3"/>
  <c r="M5" i="3"/>
  <c r="E6" i="4" l="1"/>
  <c r="G6" i="4"/>
  <c r="H6" i="4"/>
  <c r="F6" i="3"/>
  <c r="G6" i="3"/>
  <c r="H6" i="3" s="1"/>
  <c r="F6" i="4" l="1"/>
  <c r="I6" i="4"/>
  <c r="D7" i="4"/>
  <c r="E7" i="4" s="1"/>
  <c r="O6" i="3"/>
  <c r="P6" i="3" s="1"/>
  <c r="J6" i="3"/>
  <c r="I6" i="3"/>
  <c r="K6" i="3"/>
  <c r="L6" i="3"/>
  <c r="F7" i="4" l="1"/>
  <c r="G7" i="4"/>
  <c r="H7" i="4" s="1"/>
  <c r="E7" i="3"/>
  <c r="M6" i="3"/>
  <c r="I7" i="4" l="1"/>
  <c r="D8" i="4"/>
  <c r="F7" i="3"/>
  <c r="G7" i="3"/>
  <c r="H7" i="3" s="1"/>
  <c r="E8" i="4" l="1"/>
  <c r="G8" i="4"/>
  <c r="H8" i="4"/>
  <c r="O7" i="3"/>
  <c r="P7" i="3" s="1"/>
  <c r="J7" i="3"/>
  <c r="I7" i="3"/>
  <c r="K7" i="3"/>
  <c r="L7" i="3"/>
  <c r="E9" i="4" l="1"/>
  <c r="F8" i="4"/>
  <c r="I8" i="4"/>
  <c r="D9" i="4"/>
  <c r="E8" i="3"/>
  <c r="M7" i="3"/>
  <c r="F9" i="4" l="1"/>
  <c r="G9" i="4"/>
  <c r="H9" i="4" s="1"/>
  <c r="F8" i="3"/>
  <c r="G8" i="3" s="1"/>
  <c r="H8" i="3" s="1"/>
  <c r="I9" i="4" l="1"/>
  <c r="D10" i="4"/>
  <c r="O8" i="3"/>
  <c r="P8" i="3" s="1"/>
  <c r="J8" i="3"/>
  <c r="I8" i="3"/>
  <c r="K8" i="3"/>
  <c r="L8" i="3" s="1"/>
  <c r="E10" i="4" l="1"/>
  <c r="G10" i="4" s="1"/>
  <c r="H10" i="4" s="1"/>
  <c r="E9" i="3"/>
  <c r="M8" i="3"/>
  <c r="F10" i="4" l="1"/>
  <c r="I10" i="4"/>
  <c r="D11" i="4"/>
  <c r="E11" i="4" s="1"/>
  <c r="F9" i="3"/>
  <c r="G9" i="3"/>
  <c r="H9" i="3" s="1"/>
  <c r="F11" i="4" l="1"/>
  <c r="G11" i="4"/>
  <c r="H11" i="4"/>
  <c r="O9" i="3"/>
  <c r="P9" i="3" s="1"/>
  <c r="J9" i="3"/>
  <c r="I9" i="3"/>
  <c r="K9" i="3"/>
  <c r="L9" i="3"/>
  <c r="I11" i="4" l="1"/>
  <c r="D12" i="4"/>
  <c r="E10" i="3"/>
  <c r="M9" i="3"/>
  <c r="E12" i="4" l="1"/>
  <c r="G12" i="4"/>
  <c r="F10" i="3"/>
  <c r="G10" i="3" s="1"/>
  <c r="H10" i="3" s="1"/>
  <c r="H12" i="4" l="1"/>
  <c r="D13" i="4" s="1"/>
  <c r="E13" i="4" s="1"/>
  <c r="K10" i="3"/>
  <c r="L10" i="3" s="1"/>
  <c r="F12" i="4"/>
  <c r="I12" i="4"/>
  <c r="O10" i="3"/>
  <c r="P10" i="3" s="1"/>
  <c r="J10" i="3"/>
  <c r="I10" i="3"/>
  <c r="E11" i="3" l="1"/>
  <c r="F11" i="3" s="1"/>
  <c r="G11" i="3" s="1"/>
  <c r="H11" i="3" s="1"/>
  <c r="M10" i="3"/>
  <c r="F13" i="4"/>
  <c r="G13" i="4"/>
  <c r="H13" i="4" s="1"/>
  <c r="K11" i="3" l="1"/>
  <c r="L11" i="3" s="1"/>
  <c r="I13" i="4"/>
  <c r="D14" i="4"/>
  <c r="O11" i="3"/>
  <c r="P11" i="3" s="1"/>
  <c r="J11" i="3"/>
  <c r="I11" i="3"/>
  <c r="E12" i="3" l="1"/>
  <c r="M11" i="3"/>
  <c r="E14" i="4"/>
  <c r="H14" i="4" s="1"/>
  <c r="G14" i="4"/>
  <c r="F12" i="3"/>
  <c r="G12" i="3"/>
  <c r="H12" i="3" s="1"/>
  <c r="F14" i="4" l="1"/>
  <c r="I14" i="4"/>
  <c r="D15" i="4"/>
  <c r="E15" i="4" s="1"/>
  <c r="O12" i="3"/>
  <c r="P12" i="3" s="1"/>
  <c r="J12" i="3"/>
  <c r="I12" i="3"/>
  <c r="K12" i="3"/>
  <c r="L12" i="3" s="1"/>
  <c r="F15" i="4" l="1"/>
  <c r="G15" i="4"/>
  <c r="H15" i="4" s="1"/>
  <c r="E13" i="3"/>
  <c r="M12" i="3"/>
  <c r="I15" i="4" l="1"/>
  <c r="D16" i="4"/>
  <c r="F13" i="3"/>
  <c r="G13" i="3" s="1"/>
  <c r="H13" i="3" s="1"/>
  <c r="E16" i="4" l="1"/>
  <c r="G16" i="4"/>
  <c r="O13" i="3"/>
  <c r="P13" i="3" s="1"/>
  <c r="J13" i="3"/>
  <c r="I13" i="3"/>
  <c r="K13" i="3"/>
  <c r="L13" i="3" s="1"/>
  <c r="H16" i="4" l="1"/>
  <c r="F16" i="4"/>
  <c r="I16" i="4"/>
  <c r="D17" i="4"/>
  <c r="E17" i="4" s="1"/>
  <c r="E14" i="3"/>
  <c r="M13" i="3"/>
  <c r="F17" i="4" l="1"/>
  <c r="G17" i="4"/>
  <c r="H17" i="4"/>
  <c r="F14" i="3"/>
  <c r="G14" i="3"/>
  <c r="H14" i="3" s="1"/>
  <c r="I17" i="4" l="1"/>
  <c r="D18" i="4"/>
  <c r="O14" i="3"/>
  <c r="P14" i="3" s="1"/>
  <c r="J14" i="3"/>
  <c r="I14" i="3"/>
  <c r="K14" i="3"/>
  <c r="L14" i="3"/>
  <c r="E18" i="4" l="1"/>
  <c r="E15" i="3"/>
  <c r="M14" i="3"/>
  <c r="F18" i="4" l="1"/>
  <c r="F15" i="3"/>
  <c r="G15" i="3"/>
  <c r="H15" i="3" s="1"/>
  <c r="G18" i="4"/>
  <c r="H18" i="4" s="1"/>
  <c r="O15" i="3" l="1"/>
  <c r="P15" i="3" s="1"/>
  <c r="J15" i="3"/>
  <c r="I15" i="3"/>
  <c r="D19" i="4"/>
  <c r="I18" i="4"/>
  <c r="K15" i="3"/>
  <c r="L15" i="3"/>
  <c r="E19" i="4" l="1"/>
  <c r="H19" i="4" s="1"/>
  <c r="G19" i="4"/>
  <c r="E16" i="3"/>
  <c r="M15" i="3"/>
  <c r="F19" i="4" l="1"/>
  <c r="I19" i="4"/>
  <c r="D20" i="4"/>
  <c r="E20" i="4" s="1"/>
  <c r="F16" i="3"/>
  <c r="G16" i="3"/>
  <c r="H16" i="3" s="1"/>
  <c r="F20" i="4" l="1"/>
  <c r="G20" i="4"/>
  <c r="H20" i="4" s="1"/>
  <c r="O16" i="3"/>
  <c r="P16" i="3" s="1"/>
  <c r="J16" i="3"/>
  <c r="I16" i="3"/>
  <c r="K16" i="3"/>
  <c r="L16" i="3" s="1"/>
  <c r="I20" i="4" l="1"/>
  <c r="D21" i="4"/>
  <c r="E17" i="3"/>
  <c r="M16" i="3"/>
  <c r="E21" i="4" l="1"/>
  <c r="F17" i="3"/>
  <c r="G17" i="3" s="1"/>
  <c r="H17" i="3" s="1"/>
  <c r="F21" i="4" l="1"/>
  <c r="O17" i="3"/>
  <c r="P17" i="3" s="1"/>
  <c r="J17" i="3"/>
  <c r="I17" i="3"/>
  <c r="G21" i="4"/>
  <c r="H21" i="4"/>
  <c r="K17" i="3"/>
  <c r="L17" i="3"/>
  <c r="D22" i="4" l="1"/>
  <c r="I21" i="4"/>
  <c r="E18" i="3"/>
  <c r="M17" i="3"/>
  <c r="E22" i="4" l="1"/>
  <c r="G22" i="4"/>
  <c r="H22" i="4"/>
  <c r="F18" i="3"/>
  <c r="G18" i="3"/>
  <c r="H18" i="3" s="1"/>
  <c r="F22" i="4" l="1"/>
  <c r="I22" i="4"/>
  <c r="D23" i="4"/>
  <c r="E23" i="4" s="1"/>
  <c r="O18" i="3"/>
  <c r="P18" i="3" s="1"/>
  <c r="J18" i="3"/>
  <c r="I18" i="3"/>
  <c r="K18" i="3"/>
  <c r="L18" i="3" s="1"/>
  <c r="F23" i="4" l="1"/>
  <c r="G23" i="4"/>
  <c r="H23" i="4" s="1"/>
  <c r="E19" i="3"/>
  <c r="M18" i="3"/>
  <c r="I23" i="4" l="1"/>
  <c r="D24" i="4"/>
  <c r="F19" i="3"/>
  <c r="G19" i="3" s="1"/>
  <c r="H19" i="3" s="1"/>
  <c r="E24" i="4" l="1"/>
  <c r="G24" i="4"/>
  <c r="H24" i="4"/>
  <c r="O19" i="3"/>
  <c r="P19" i="3" s="1"/>
  <c r="J19" i="3"/>
  <c r="I19" i="3"/>
  <c r="K19" i="3"/>
  <c r="L19" i="3" s="1"/>
  <c r="F24" i="4" l="1"/>
  <c r="I24" i="4"/>
  <c r="D25" i="4"/>
  <c r="E25" i="4" s="1"/>
  <c r="E20" i="3"/>
  <c r="M19" i="3"/>
  <c r="F25" i="4" l="1"/>
  <c r="G25" i="4"/>
  <c r="H25" i="4"/>
  <c r="F20" i="3"/>
  <c r="G20" i="3" s="1"/>
  <c r="H20" i="3" s="1"/>
  <c r="I25" i="4" l="1"/>
  <c r="D26" i="4"/>
  <c r="O20" i="3"/>
  <c r="P20" i="3" s="1"/>
  <c r="J20" i="3"/>
  <c r="I20" i="3"/>
  <c r="K20" i="3"/>
  <c r="L20" i="3" s="1"/>
  <c r="E26" i="4" l="1"/>
  <c r="H26" i="4" s="1"/>
  <c r="G26" i="4"/>
  <c r="E21" i="3"/>
  <c r="M20" i="3"/>
  <c r="F26" i="4" l="1"/>
  <c r="I26" i="4"/>
  <c r="D27" i="4"/>
  <c r="E27" i="4" s="1"/>
  <c r="F21" i="3"/>
  <c r="G21" i="3" s="1"/>
  <c r="H21" i="3" s="1"/>
  <c r="F27" i="4" l="1"/>
  <c r="G27" i="4"/>
  <c r="H27" i="4" s="1"/>
  <c r="O21" i="3"/>
  <c r="P21" i="3" s="1"/>
  <c r="J21" i="3"/>
  <c r="I21" i="3"/>
  <c r="K21" i="3"/>
  <c r="L21" i="3" s="1"/>
  <c r="I27" i="4" l="1"/>
  <c r="D28" i="4"/>
  <c r="E22" i="3"/>
  <c r="M21" i="3"/>
  <c r="E28" i="4" l="1"/>
  <c r="F22" i="3"/>
  <c r="G22" i="3" s="1"/>
  <c r="H22" i="3" s="1"/>
  <c r="F28" i="4" l="1"/>
  <c r="O22" i="3"/>
  <c r="P22" i="3" s="1"/>
  <c r="J22" i="3"/>
  <c r="I22" i="3"/>
  <c r="G28" i="4"/>
  <c r="H28" i="4" s="1"/>
  <c r="K22" i="3"/>
  <c r="L22" i="3"/>
  <c r="D29" i="4" l="1"/>
  <c r="I28" i="4"/>
  <c r="E23" i="3"/>
  <c r="M22" i="3"/>
  <c r="E29" i="4" l="1"/>
  <c r="G29" i="4"/>
  <c r="H29" i="4"/>
  <c r="F23" i="3"/>
  <c r="G23" i="3"/>
  <c r="H23" i="3" s="1"/>
  <c r="F29" i="4" l="1"/>
  <c r="I29" i="4"/>
  <c r="D30" i="4"/>
  <c r="E30" i="4" s="1"/>
  <c r="O23" i="3"/>
  <c r="P23" i="3" s="1"/>
  <c r="J23" i="3"/>
  <c r="I23" i="3"/>
  <c r="K23" i="3"/>
  <c r="L23" i="3"/>
  <c r="F30" i="4" l="1"/>
  <c r="G30" i="4"/>
  <c r="H30" i="4" s="1"/>
  <c r="E24" i="3"/>
  <c r="M23" i="3"/>
  <c r="I30" i="4" l="1"/>
  <c r="D31" i="4"/>
  <c r="F24" i="3"/>
  <c r="G24" i="3"/>
  <c r="H24" i="3" s="1"/>
  <c r="E31" i="4" l="1"/>
  <c r="O24" i="3"/>
  <c r="P24" i="3" s="1"/>
  <c r="J24" i="3"/>
  <c r="I24" i="3"/>
  <c r="K24" i="3"/>
  <c r="L24" i="3"/>
  <c r="F31" i="4" l="1"/>
  <c r="E25" i="3"/>
  <c r="M24" i="3"/>
  <c r="G31" i="4"/>
  <c r="H31" i="4" s="1"/>
  <c r="F25" i="3" l="1"/>
  <c r="G25" i="3"/>
  <c r="H25" i="3" s="1"/>
  <c r="D32" i="4"/>
  <c r="I31" i="4"/>
  <c r="O25" i="3" l="1"/>
  <c r="P25" i="3" s="1"/>
  <c r="J25" i="3"/>
  <c r="I25" i="3"/>
  <c r="E32" i="4"/>
  <c r="G32" i="4"/>
  <c r="H32" i="4"/>
  <c r="K25" i="3"/>
  <c r="L25" i="3" s="1"/>
  <c r="F32" i="4" l="1"/>
  <c r="I32" i="4"/>
  <c r="D33" i="4"/>
  <c r="E33" i="4" s="1"/>
  <c r="E26" i="3"/>
  <c r="M25" i="3"/>
  <c r="F33" i="4" l="1"/>
  <c r="G33" i="4"/>
  <c r="H33" i="4"/>
  <c r="F26" i="3"/>
  <c r="G26" i="3"/>
  <c r="H26" i="3" s="1"/>
  <c r="I33" i="4" l="1"/>
  <c r="D34" i="4"/>
  <c r="O26" i="3"/>
  <c r="P26" i="3" s="1"/>
  <c r="J26" i="3"/>
  <c r="I26" i="3"/>
  <c r="K26" i="3"/>
  <c r="L26" i="3" s="1"/>
  <c r="E34" i="4" l="1"/>
  <c r="H34" i="4" s="1"/>
  <c r="G34" i="4"/>
  <c r="E27" i="3"/>
  <c r="M26" i="3"/>
  <c r="F34" i="4" l="1"/>
  <c r="I34" i="4"/>
  <c r="D35" i="4"/>
  <c r="E35" i="4" s="1"/>
  <c r="F27" i="3"/>
  <c r="G27" i="3" s="1"/>
  <c r="H27" i="3" s="1"/>
  <c r="F35" i="4" l="1"/>
  <c r="G35" i="4"/>
  <c r="H35" i="4"/>
  <c r="O27" i="3"/>
  <c r="P27" i="3" s="1"/>
  <c r="J27" i="3"/>
  <c r="I27" i="3"/>
  <c r="K27" i="3"/>
  <c r="L27" i="3" s="1"/>
  <c r="I35" i="4" l="1"/>
  <c r="D36" i="4"/>
  <c r="E28" i="3"/>
  <c r="M27" i="3"/>
  <c r="E36" i="4" l="1"/>
  <c r="F28" i="3"/>
  <c r="G28" i="3" s="1"/>
  <c r="H28" i="3" s="1"/>
  <c r="F36" i="4" l="1"/>
  <c r="O28" i="3"/>
  <c r="P28" i="3" s="1"/>
  <c r="J28" i="3"/>
  <c r="I28" i="3"/>
  <c r="G36" i="4"/>
  <c r="H36" i="4"/>
  <c r="K28" i="3"/>
  <c r="L28" i="3"/>
  <c r="D37" i="4" l="1"/>
  <c r="I36" i="4"/>
  <c r="E29" i="3"/>
  <c r="M28" i="3"/>
  <c r="E37" i="4" l="1"/>
  <c r="F29" i="3"/>
  <c r="G29" i="3" s="1"/>
  <c r="H29" i="3" s="1"/>
  <c r="F37" i="4" l="1"/>
  <c r="O29" i="3"/>
  <c r="P29" i="3" s="1"/>
  <c r="J29" i="3"/>
  <c r="I29" i="3"/>
  <c r="G37" i="4"/>
  <c r="H37" i="4"/>
  <c r="K29" i="3"/>
  <c r="L29" i="3"/>
  <c r="D38" i="4" l="1"/>
  <c r="I37" i="4"/>
  <c r="E30" i="3"/>
  <c r="M29" i="3"/>
  <c r="E38" i="4" l="1"/>
  <c r="G38" i="4" s="1"/>
  <c r="H38" i="4" s="1"/>
  <c r="F30" i="3"/>
  <c r="G30" i="3"/>
  <c r="H30" i="3" s="1"/>
  <c r="F38" i="4" l="1"/>
  <c r="I38" i="4"/>
  <c r="D39" i="4"/>
  <c r="E39" i="4" s="1"/>
  <c r="O30" i="3"/>
  <c r="P30" i="3" s="1"/>
  <c r="J30" i="3"/>
  <c r="I30" i="3"/>
  <c r="K30" i="3"/>
  <c r="L30" i="3"/>
  <c r="F39" i="4" l="1"/>
  <c r="G39" i="4"/>
  <c r="H39" i="4" s="1"/>
  <c r="E31" i="3"/>
  <c r="M30" i="3"/>
  <c r="I39" i="4" l="1"/>
  <c r="D40" i="4"/>
  <c r="F31" i="3"/>
  <c r="G31" i="3"/>
  <c r="H31" i="3" s="1"/>
  <c r="E40" i="4" l="1"/>
  <c r="G40" i="4" s="1"/>
  <c r="H40" i="4" s="1"/>
  <c r="O31" i="3"/>
  <c r="P31" i="3" s="1"/>
  <c r="J31" i="3"/>
  <c r="I31" i="3"/>
  <c r="K31" i="3"/>
  <c r="L31" i="3"/>
  <c r="E41" i="4" l="1"/>
  <c r="F40" i="4"/>
  <c r="I40" i="4"/>
  <c r="D41" i="4"/>
  <c r="E32" i="3"/>
  <c r="M31" i="3"/>
  <c r="F41" i="4" l="1"/>
  <c r="G41" i="4"/>
  <c r="H41" i="4"/>
  <c r="F32" i="3"/>
  <c r="G32" i="3"/>
  <c r="H32" i="3" s="1"/>
  <c r="I41" i="4" l="1"/>
  <c r="D42" i="4"/>
  <c r="O32" i="3"/>
  <c r="P32" i="3" s="1"/>
  <c r="J32" i="3"/>
  <c r="I32" i="3"/>
  <c r="K32" i="3"/>
  <c r="L32" i="3" s="1"/>
  <c r="E42" i="4" l="1"/>
  <c r="E33" i="3"/>
  <c r="M32" i="3"/>
  <c r="G42" i="4" l="1"/>
  <c r="H42" i="4" s="1"/>
  <c r="F42" i="4"/>
  <c r="F33" i="3"/>
  <c r="G33" i="3" s="1"/>
  <c r="H33" i="3" s="1"/>
  <c r="D43" i="4" l="1"/>
  <c r="E43" i="4" s="1"/>
  <c r="I42" i="4"/>
  <c r="F43" i="4"/>
  <c r="G43" i="4"/>
  <c r="H43" i="4"/>
  <c r="O33" i="3"/>
  <c r="P33" i="3" s="1"/>
  <c r="J33" i="3"/>
  <c r="I33" i="3"/>
  <c r="K33" i="3"/>
  <c r="L33" i="3" s="1"/>
  <c r="I43" i="4" l="1"/>
  <c r="D44" i="4"/>
  <c r="E34" i="3"/>
  <c r="M33" i="3"/>
  <c r="E44" i="4" l="1"/>
  <c r="G44" i="4" s="1"/>
  <c r="H44" i="4" s="1"/>
  <c r="F34" i="3"/>
  <c r="G34" i="3" s="1"/>
  <c r="H34" i="3" s="1"/>
  <c r="F44" i="4" l="1"/>
  <c r="I44" i="4"/>
  <c r="D45" i="4"/>
  <c r="E45" i="4" s="1"/>
  <c r="O34" i="3"/>
  <c r="P34" i="3" s="1"/>
  <c r="J34" i="3"/>
  <c r="I34" i="3"/>
  <c r="K34" i="3"/>
  <c r="L34" i="3" s="1"/>
  <c r="F45" i="4" l="1"/>
  <c r="G45" i="4"/>
  <c r="H45" i="4" s="1"/>
  <c r="E35" i="3"/>
  <c r="M34" i="3"/>
  <c r="I45" i="4" l="1"/>
  <c r="D46" i="4"/>
  <c r="F10" i="2"/>
  <c r="F11" i="2"/>
  <c r="F35" i="3"/>
  <c r="G35" i="3"/>
  <c r="H35" i="3" s="1"/>
  <c r="E46" i="4" l="1"/>
  <c r="O35" i="3"/>
  <c r="P35" i="3" s="1"/>
  <c r="J35" i="3"/>
  <c r="I35" i="3"/>
  <c r="K35" i="3"/>
  <c r="L35" i="3"/>
  <c r="G46" i="4" l="1"/>
  <c r="H46" i="4"/>
  <c r="F46" i="4"/>
  <c r="E36" i="3"/>
  <c r="M35" i="3"/>
  <c r="I46" i="4" l="1"/>
  <c r="D47" i="4"/>
  <c r="F47" i="4"/>
  <c r="G47" i="4"/>
  <c r="F36" i="3"/>
  <c r="G36" i="3"/>
  <c r="H36" i="3" s="1"/>
  <c r="E47" i="4" l="1"/>
  <c r="H47" i="4"/>
  <c r="K36" i="3"/>
  <c r="L36" i="3"/>
  <c r="I47" i="4"/>
  <c r="D48" i="4"/>
  <c r="O36" i="3"/>
  <c r="P36" i="3" s="1"/>
  <c r="J36" i="3"/>
  <c r="I36" i="3"/>
  <c r="M36" i="3" l="1"/>
  <c r="E37" i="3"/>
  <c r="F37" i="3" s="1"/>
  <c r="G37" i="3" s="1"/>
  <c r="H37" i="3" s="1"/>
  <c r="E48" i="4"/>
  <c r="G48" i="4" s="1"/>
  <c r="H48" i="4" s="1"/>
  <c r="F48" i="4" l="1"/>
  <c r="I48" i="4"/>
  <c r="D49" i="4"/>
  <c r="E49" i="4" s="1"/>
  <c r="O37" i="3"/>
  <c r="P37" i="3" s="1"/>
  <c r="J37" i="3"/>
  <c r="I37" i="3"/>
  <c r="K37" i="3"/>
  <c r="L37" i="3" s="1"/>
  <c r="F49" i="4" l="1"/>
  <c r="G49" i="4"/>
  <c r="H49" i="4" s="1"/>
  <c r="E38" i="3"/>
  <c r="M37" i="3"/>
  <c r="I49" i="4" l="1"/>
  <c r="D50" i="4"/>
  <c r="F38" i="3"/>
  <c r="G38" i="3"/>
  <c r="H38" i="3" s="1"/>
  <c r="E50" i="4" l="1"/>
  <c r="O38" i="3"/>
  <c r="P38" i="3" s="1"/>
  <c r="J38" i="3"/>
  <c r="I38" i="3"/>
  <c r="K38" i="3"/>
  <c r="L38" i="3" s="1"/>
  <c r="E39" i="3" l="1"/>
  <c r="M38" i="3"/>
  <c r="F50" i="4"/>
  <c r="G50" i="4"/>
  <c r="H50" i="4"/>
  <c r="I50" i="4" s="1"/>
  <c r="F39" i="3" l="1"/>
  <c r="G39" i="3"/>
  <c r="H39" i="3" s="1"/>
  <c r="O39" i="3" l="1"/>
  <c r="P39" i="3" s="1"/>
  <c r="J39" i="3"/>
  <c r="I39" i="3"/>
  <c r="K39" i="3"/>
  <c r="L39" i="3" s="1"/>
  <c r="E40" i="3" l="1"/>
  <c r="M39" i="3"/>
  <c r="F40" i="3" l="1"/>
  <c r="G40" i="3" s="1"/>
  <c r="H40" i="3" s="1"/>
  <c r="O40" i="3" l="1"/>
  <c r="P40" i="3" s="1"/>
  <c r="J40" i="3"/>
  <c r="I40" i="3"/>
  <c r="K40" i="3"/>
  <c r="L40" i="3" s="1"/>
  <c r="E41" i="3" l="1"/>
  <c r="M40" i="3"/>
  <c r="F41" i="3" l="1"/>
  <c r="G41" i="3"/>
  <c r="H41" i="3" s="1"/>
  <c r="O41" i="3" l="1"/>
  <c r="P41" i="3" s="1"/>
  <c r="J41" i="3"/>
  <c r="I41" i="3"/>
  <c r="L41" i="3"/>
  <c r="K41" i="3"/>
  <c r="E42" i="3" l="1"/>
  <c r="M41" i="3"/>
  <c r="F42" i="3" l="1"/>
  <c r="G42" i="3"/>
  <c r="H42" i="3" s="1"/>
  <c r="O42" i="3" l="1"/>
  <c r="P42" i="3" s="1"/>
  <c r="J42" i="3"/>
  <c r="I42" i="3"/>
  <c r="K42" i="3"/>
  <c r="L42" i="3" s="1"/>
  <c r="E43" i="3" l="1"/>
  <c r="M42" i="3"/>
  <c r="F43" i="3" l="1"/>
  <c r="G43" i="3"/>
  <c r="H43" i="3" s="1"/>
  <c r="O43" i="3" l="1"/>
  <c r="P43" i="3" s="1"/>
  <c r="J43" i="3"/>
  <c r="I43" i="3"/>
  <c r="K43" i="3"/>
  <c r="L43" i="3" s="1"/>
  <c r="E44" i="3" l="1"/>
  <c r="M43" i="3"/>
  <c r="F44" i="3" l="1"/>
  <c r="G44" i="3"/>
  <c r="H44" i="3" s="1"/>
  <c r="O44" i="3" l="1"/>
  <c r="P44" i="3" s="1"/>
  <c r="J44" i="3"/>
  <c r="I44" i="3"/>
  <c r="K44" i="3"/>
  <c r="L44" i="3" s="1"/>
  <c r="E45" i="3" l="1"/>
  <c r="M44" i="3"/>
  <c r="F45" i="3" l="1"/>
  <c r="G45" i="3"/>
  <c r="H45" i="3" s="1"/>
  <c r="O45" i="3" l="1"/>
  <c r="P45" i="3" s="1"/>
  <c r="J45" i="3"/>
  <c r="I45" i="3"/>
  <c r="K45" i="3"/>
  <c r="L45" i="3" s="1"/>
  <c r="F18" i="2" l="1"/>
  <c r="F16" i="2"/>
  <c r="E46" i="3"/>
  <c r="M45" i="3"/>
  <c r="F17" i="2" s="1"/>
  <c r="F46" i="3" l="1"/>
  <c r="G46" i="3"/>
  <c r="H46" i="3" s="1"/>
  <c r="O46" i="3" l="1"/>
  <c r="P46" i="3" s="1"/>
  <c r="J46" i="3"/>
  <c r="I46" i="3"/>
  <c r="K46" i="3"/>
  <c r="L46" i="3" s="1"/>
  <c r="E47" i="3" l="1"/>
  <c r="M46" i="3"/>
  <c r="F47" i="3" l="1"/>
  <c r="G47" i="3"/>
  <c r="H47" i="3" s="1"/>
  <c r="O47" i="3" l="1"/>
  <c r="P47" i="3" s="1"/>
  <c r="J47" i="3"/>
  <c r="I47" i="3"/>
  <c r="K47" i="3"/>
  <c r="L47" i="3" s="1"/>
  <c r="E48" i="3" l="1"/>
  <c r="M47" i="3"/>
  <c r="F48" i="3" l="1"/>
  <c r="G48" i="3"/>
  <c r="H48" i="3" s="1"/>
  <c r="O48" i="3" l="1"/>
  <c r="P48" i="3" s="1"/>
  <c r="J48" i="3"/>
  <c r="I48" i="3"/>
  <c r="K48" i="3"/>
  <c r="L48" i="3" s="1"/>
  <c r="E49" i="3" l="1"/>
  <c r="M48" i="3"/>
  <c r="F49" i="3" l="1"/>
  <c r="G49" i="3"/>
  <c r="H49" i="3" s="1"/>
  <c r="O49" i="3" l="1"/>
  <c r="P49" i="3" s="1"/>
  <c r="J49" i="3"/>
  <c r="I49" i="3"/>
  <c r="K49" i="3"/>
  <c r="L49" i="3" s="1"/>
  <c r="E50" i="3" l="1"/>
  <c r="M49" i="3"/>
  <c r="F50" i="3" l="1"/>
  <c r="G50" i="3" s="1"/>
  <c r="H50" i="3" s="1"/>
  <c r="O50" i="3" l="1"/>
  <c r="P50" i="3" s="1"/>
  <c r="F19" i="2" s="1"/>
  <c r="J50" i="3"/>
  <c r="I50" i="3"/>
  <c r="F15" i="2"/>
  <c r="F14" i="2"/>
  <c r="B4" i="2" s="1"/>
  <c r="K50" i="3"/>
  <c r="L50" i="3" s="1"/>
  <c r="M5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Planner</author>
  </authors>
  <commentList>
    <comment ref="A4" authorId="0" shapeId="0" xr:uid="{00000000-0006-0000-0200-000001000000}">
      <text>
        <r>
          <rPr>
            <sz val="11"/>
            <color theme="1"/>
            <rFont val="Calibri"/>
            <family val="2"/>
            <scheme val="minor"/>
          </rPr>
          <t>Year of retirement, starting at 1. Year 1 is your retirement start age.</t>
        </r>
      </text>
    </comment>
    <comment ref="B4" authorId="0" shapeId="0" xr:uid="{00000000-0006-0000-0200-000002000000}">
      <text>
        <r>
          <rPr>
            <sz val="11"/>
            <color theme="1"/>
            <rFont val="Calibri"/>
            <family val="2"/>
            <scheme val="minor"/>
          </rPr>
          <t>Your age in this year (retirement start age + year - 1).</t>
        </r>
      </text>
    </comment>
    <comment ref="C4" authorId="0" shapeId="0" xr:uid="{00000000-0006-0000-0200-000003000000}">
      <text>
        <r>
          <rPr>
            <sz val="11"/>
            <color theme="1"/>
            <rFont val="Calibri"/>
            <family val="2"/>
            <scheme val="minor"/>
          </rPr>
          <t>Your remaining life expectancy at this age, calculated from the anchors on the Inputs tab. The dynamic withdrawal divides your balance by this number.</t>
        </r>
      </text>
    </comment>
    <comment ref="D4" authorId="0" shapeId="0" xr:uid="{00000000-0006-0000-0200-000004000000}">
      <text>
        <r>
          <rPr>
            <sz val="11"/>
            <color theme="1"/>
            <rFont val="Calibri"/>
            <family val="2"/>
            <scheme val="minor"/>
          </rPr>
          <t>The investment return applied this year. It is linked from the 4% Rule tab so both strategies see the same markets, and is set by your chosen Market scenario.</t>
        </r>
      </text>
    </comment>
    <comment ref="E4" authorId="0" shapeId="0" xr:uid="{00000000-0006-0000-0200-000005000000}">
      <text>
        <r>
          <rPr>
            <sz val="11"/>
            <color theme="1"/>
            <rFont val="Calibri"/>
            <family val="2"/>
            <scheme val="minor"/>
          </rPr>
          <t>Portfolio value at the start of the year, before any withdrawal. It equals last year's ending balance.</t>
        </r>
      </text>
    </comment>
    <comment ref="F4" authorId="0" shapeId="0" xr:uid="{00000000-0006-0000-0200-000006000000}">
      <text>
        <r>
          <rPr>
            <sz val="11"/>
            <color theme="1"/>
            <rFont val="Calibri"/>
            <family val="2"/>
            <scheme val="minor"/>
          </rPr>
          <t>The raw actuarial withdrawal: beginning balance divided by remaining years. This is before any guardrails or smoothing.</t>
        </r>
      </text>
    </comment>
    <comment ref="G4" authorId="0" shapeId="0" xr:uid="{00000000-0006-0000-0200-000007000000}">
      <text>
        <r>
          <rPr>
            <sz val="11"/>
            <color theme="1"/>
            <rFont val="Calibri"/>
            <family val="2"/>
            <scheme val="minor"/>
          </rPr>
          <t>The life-expectancy withdrawal after being capped inside your floor/ceiling band (for example 3% to 6% of the balance).</t>
        </r>
      </text>
    </comment>
    <comment ref="H4" authorId="0" shapeId="0" xr:uid="{00000000-0006-0000-0200-000008000000}">
      <text>
        <r>
          <rPr>
            <sz val="11"/>
            <color theme="1"/>
            <rFont val="Calibri"/>
            <family val="2"/>
            <scheme val="minor"/>
          </rPr>
          <t>The actual amount withdrawn this year, after the shock absorber limits how much your spending can change from last year.</t>
        </r>
      </text>
    </comment>
    <comment ref="I4" authorId="0" shapeId="0" xr:uid="{00000000-0006-0000-0200-000009000000}">
      <text>
        <r>
          <rPr>
            <sz val="11"/>
            <color theme="1"/>
            <rFont val="Calibri"/>
            <family val="2"/>
            <scheme val="minor"/>
          </rPr>
          <t>The final withdrawal restated in today's buying power, so you can compare it fairly across years despite inflation.</t>
        </r>
      </text>
    </comment>
    <comment ref="J4" authorId="0" shapeId="0" xr:uid="{00000000-0006-0000-0200-00000A000000}">
      <text>
        <r>
          <rPr>
            <sz val="11"/>
            <color theme="1"/>
            <rFont val="Calibri"/>
            <family val="2"/>
            <scheme val="minor"/>
          </rPr>
          <t>The final withdrawal as a percent of the beginning balance. It shows where you landed inside the guardrail band.</t>
        </r>
      </text>
    </comment>
    <comment ref="K4" authorId="0" shapeId="0" xr:uid="{00000000-0006-0000-0200-00000B000000}">
      <text>
        <r>
          <rPr>
            <sz val="11"/>
            <color theme="1"/>
            <rFont val="Calibri"/>
            <family val="2"/>
            <scheme val="minor"/>
          </rPr>
          <t>Dollar growth or loss on the portfolio this year, applied after the withdrawal is taken out.</t>
        </r>
      </text>
    </comment>
    <comment ref="L4" authorId="0" shapeId="0" xr:uid="{00000000-0006-0000-0200-00000C000000}">
      <text>
        <r>
          <rPr>
            <sz val="11"/>
            <color theme="1"/>
            <rFont val="Calibri"/>
            <family val="2"/>
            <scheme val="minor"/>
          </rPr>
          <t>Portfolio value at year end: beginning balance minus withdrawal plus investment return. It carries into next year.</t>
        </r>
      </text>
    </comment>
    <comment ref="M4" authorId="0" shapeId="0" xr:uid="{00000000-0006-0000-0200-00000D000000}">
      <text>
        <r>
          <rPr>
            <sz val="11"/>
            <color theme="1"/>
            <rFont val="Calibri"/>
            <family val="2"/>
            <scheme val="minor"/>
          </rPr>
          <t>The ending balance restated in today's buying power.</t>
        </r>
      </text>
    </comment>
    <comment ref="N4" authorId="0" shapeId="0" xr:uid="{00000000-0006-0000-0200-00000E000000}">
      <text>
        <r>
          <rPr>
            <sz val="11"/>
            <color theme="1"/>
            <rFont val="Calibri"/>
            <family val="2"/>
            <scheme val="minor"/>
          </rPr>
          <t>Guaranteed income this year. It is zero until your Social Security start age, then your full benefit times the claiming factor, grown by inflation.</t>
        </r>
      </text>
    </comment>
    <comment ref="O4" authorId="0" shapeId="0" xr:uid="{00000000-0006-0000-0200-00000F000000}">
      <text>
        <r>
          <rPr>
            <sz val="11"/>
            <color theme="1"/>
            <rFont val="Calibri"/>
            <family val="2"/>
            <scheme val="minor"/>
          </rPr>
          <t>What you actually get to spend: portfolio withdrawal plus Social Security, in nominal future dollars.</t>
        </r>
      </text>
    </comment>
    <comment ref="P4" authorId="0" shapeId="0" xr:uid="{00000000-0006-0000-0200-000010000000}">
      <text>
        <r>
          <rPr>
            <sz val="11"/>
            <color theme="1"/>
            <rFont val="Calibri"/>
            <family val="2"/>
            <scheme val="minor"/>
          </rPr>
          <t>Total spending in today's buying power. It turns red in any year it falls below your essential spending, a sign the plan underfunds your must-haves that year.</t>
        </r>
      </text>
    </comment>
  </commentList>
</comments>
</file>

<file path=xl/sharedStrings.xml><?xml version="1.0" encoding="utf-8"?>
<sst xmlns="http://schemas.openxmlformats.org/spreadsheetml/2006/main" count="174" uniqueCount="160">
  <si>
    <t>How to Use This Planner</t>
  </si>
  <si>
    <t>This workbook compares two ways to spend down a retirement portfolio: the classic 4% rule and a more flexible "dynamic" strategy from the Wall Street Journal article (see the Article tab). It is an educational illustration, not financial advice.</t>
  </si>
  <si>
    <t>How the strategies work</t>
  </si>
  <si>
    <t>4% rule — withdraw 4% of the starting portfolio in year one, then raise that dollar amount by inflation every year (created by William Bengen, 1994). Simple, but rigid.</t>
  </si>
  <si>
    <t>Dynamic strategy — three layered fixes the article recommends:</t>
  </si>
  <si>
    <t xml:space="preserve">   1) Life expectancy: each year divide your balance by your remaining years and spend that share.</t>
  </si>
  <si>
    <t xml:space="preserve">   2) Guardrails: keep the result inside a band (floor / ceiling) so spending never gets extreme.</t>
  </si>
  <si>
    <t xml:space="preserve">   3) Shock absorber: never change spending by more than a set % in a single year.</t>
  </si>
  <si>
    <t>Essentials vs. discretionary — cover must-haves with guaranteed income; apply the dynamic withdrawals to the rest. The Essentials Check shows how much of your essentials the portfolio must still cover.</t>
  </si>
  <si>
    <t>Quick start</t>
  </si>
  <si>
    <t>1. Open the Inputs &amp; Summary tab.</t>
  </si>
  <si>
    <t>2. Change any of the yellow cells to match your situation (age, portfolio size, returns, etc.).</t>
  </si>
  <si>
    <t>3. Read the blue verdict box at the top and the Results panel on the right — they update automatically.</t>
  </si>
  <si>
    <t>4. Scroll down on that tab to see the two charts compare the strategies side by side.</t>
  </si>
  <si>
    <t>What each tab does</t>
  </si>
  <si>
    <t>• Inputs &amp; Summary — your assumptions, the market scenario, life-expectancy anchors, results, and charts.</t>
  </si>
  <si>
    <t>• Dynamic Strategy — life-expectancy + guardrails + shock absorber, year by year.</t>
  </si>
  <si>
    <t>• 4% Rule — the classic strategy, year by year. Also holds the shared annual returns.</t>
  </si>
  <si>
    <t>• Life Expectancy — remaining-years table, fully calculated from your anchor inputs.</t>
  </si>
  <si>
    <t>• Article — the full WSJ narrative the model is based on.</t>
  </si>
  <si>
    <t>Reading the numbers: nominal vs. today's dollars</t>
  </si>
  <si>
    <t>Most columns are "nominal" (actual future dollars). Because of inflation, a $90,000 withdrawal 30 years from now buys far less than $90,000 today. The columns labeled "(today's $)" restate those amounts in today's buying power, so you can compare spending fairly across the years.</t>
  </si>
  <si>
    <t>Testing market scenarios</t>
  </si>
  <si>
    <t>On the Inputs &amp; Summary tab, use the Market scenario dropdown to switch between three return paths:</t>
  </si>
  <si>
    <t xml:space="preserve">   • Steady — every year earns your expected return.</t>
  </si>
  <si>
    <t xml:space="preserve">   • Early crash — a sharp drop in the first couple of retirement years, then recovery. This tests "sequence-of-returns" risk, the most dangerous case: bad markets right as you start withdrawing.</t>
  </si>
  <si>
    <t xml:space="preserve">   • Stagflation — several years of very low returns. With inflation still eroding value, this squeezes real spending.</t>
  </si>
  <si>
    <t>You can fine-tune the exact return numbers for each scenario in the yellow Scenario detail table on the Inputs &amp; Summary tab. The Annual return column on the 4% Rule tab is calculated from your scenario choice; both strategies share it, so the comparison stays fair.</t>
  </si>
  <si>
    <t>Life-expectancy anchors</t>
  </si>
  <si>
    <t>The dynamic strategy needs your remaining life expectancy at each age. On the Inputs &amp; Summary tab you enter just four anchor values (at your current age, 62, 67 and 70 — from the SSA calculator). The Life Expectancy tab then calculates every other age automatically: it interpolates between your anchors and extrapolates beyond age 70 from the age-70 value. Update the anchors and the whole table and both strategies refresh.</t>
  </si>
  <si>
    <t>Social Security</t>
  </si>
  <si>
    <t>Enter your full Social Security benefit (the amount at your full retirement age of 67, in today's dollars per year) and the age you plan to start collecting (62 to 70). The model looks up the SSA claiming factor — 70% of full at 62, 100% at 67, up to 124% at 70 (born 1960 or later) — and pays that income only from your start age onward, growing with inflation. Before your start age, the model assumes no Social Security.</t>
  </si>
  <si>
    <t>The claiming-factor table sits on the Inputs &amp; Summary tab. Source: SSA, ssa.gov/benefits/retirement/planner/1960.html.</t>
  </si>
  <si>
    <t>Already retired? Using this mid-stream</t>
  </si>
  <si>
    <t>The dynamic strategy is designed to be re-run from today every year, so it works mid-retirement. Set the Retirement start age to your current age and the Starting portfolio to your current balance (both inputs are labeled for this). Year 1 of the tables then becomes next year, and the dynamic first-year withdrawal is your suggested amount for the coming year. Come back annually, update your age and balance, and read the new figure.</t>
  </si>
  <si>
    <t>One nuance for the 4% Rule column: by default it restarts at 4% of your current balance. If you want it to continue your original, inflation-adjusted 4% amount instead, enter that dollar amount in "Current 4% rule withdrawal if already retired" — leave it 0 if you are not yet retired.</t>
  </si>
  <si>
    <t>Today's dollars vs. future dollars in the Results</t>
  </si>
  <si>
    <t>Result rows are labeled either (today's $) or (future $). First-year withdrawals are in today's dollars (year 1 is now). Balances at plan-to age are shown both ways. The lowest/highest annual withdrawals are future (nominal) dollars, so later years look larger purely because of inflation.</t>
  </si>
  <si>
    <t>Why the spreadsheet is locked</t>
  </si>
  <si>
    <t>To prevent accidental edits, every tab is protected so only the yellow input cells (and the return and scenario cells) can be changed. The formulas are locked.</t>
  </si>
  <si>
    <t>To unlock a tab so you can edit formulas:</t>
  </si>
  <si>
    <t xml:space="preserve">   1. Click the tab you want to change.</t>
  </si>
  <si>
    <t xml:space="preserve">   2. Go to the Review ribbon in Excel.</t>
  </si>
  <si>
    <t xml:space="preserve">   3. Click "Unprotect Sheet" (there is no password — it unlocks immediately).</t>
  </si>
  <si>
    <t>To turn protection back on: Review ribbon → "Protect Sheet" → OK.</t>
  </si>
  <si>
    <t>Color key</t>
  </si>
  <si>
    <t>• Yellow cells = inputs you can edit.</t>
  </si>
  <si>
    <t>• Black text = calculated values.</t>
  </si>
  <si>
    <t>• Green text = pulled from another tab.</t>
  </si>
  <si>
    <t>• Grey text = shown in today's dollars.</t>
  </si>
  <si>
    <t>• Red highlight = a balance has run out (reached $0).</t>
  </si>
  <si>
    <t>A note on assumptions</t>
  </si>
  <si>
    <t>Defaults: 6% expected return (nominal), 3% inflation, 4% rule rate, 3%–6% guardrails, 5% shock absorber. A 3% inflation assumption is reasonable and slightly conservative (long-run US inflation has averaged about 2.5–3%). Adjust any of these to your own outlook.</t>
  </si>
  <si>
    <t>Retirement Withdrawal Strategies</t>
  </si>
  <si>
    <t>Compare the classic 4% rule with a dynamic strategy (life-expectancy + guardrails + shock absorber). Yellow = inputs you can change · Black = calculated · Green = pulled from another tab. See the Instructions tab.</t>
  </si>
  <si>
    <t>SCENARIO DETAIL — annual returns (edit yellow cells)</t>
  </si>
  <si>
    <t>ASSUMPTIONS (edit the yellow cells)</t>
  </si>
  <si>
    <t>RESULTS</t>
  </si>
  <si>
    <t>Year</t>
  </si>
  <si>
    <t>Early crash</t>
  </si>
  <si>
    <t>Stagflation</t>
  </si>
  <si>
    <t>Retirement start age (or current age, if retired)</t>
  </si>
  <si>
    <t>Years modeled (start -&gt; plan-to age)</t>
  </si>
  <si>
    <t>Plan-to age (planning horizon)</t>
  </si>
  <si>
    <t>— 4% RULE —</t>
  </si>
  <si>
    <t>Starting portfolio at retirement (or current portfolio amount, if retired)</t>
  </si>
  <si>
    <t>First-year withdrawal (today's $)</t>
  </si>
  <si>
    <t>Expected annual return (nominal, default)</t>
  </si>
  <si>
    <t>Balance at plan-to age (future $)</t>
  </si>
  <si>
    <t>Inflation rate</t>
  </si>
  <si>
    <t>Money lasts to plan-to age?</t>
  </si>
  <si>
    <t>4% rule starting rate</t>
  </si>
  <si>
    <t>— DYNAMIC STRATEGY —</t>
  </si>
  <si>
    <t>Guardrail floor (minimum withdrawal rate)</t>
  </si>
  <si>
    <t>Guardrail ceiling (maximum withdrawal rate)</t>
  </si>
  <si>
    <t>Lowest annual withdrawal (future $)</t>
  </si>
  <si>
    <t>Shock absorber — max spending change per year</t>
  </si>
  <si>
    <t>Highest annual withdrawal (future $)</t>
  </si>
  <si>
    <t>Essential annual spending (today's $)</t>
  </si>
  <si>
    <t>Full Social Security benefit at age 67 / FRA (today's $/yr)</t>
  </si>
  <si>
    <t>Balance at plan-to age (today's $)</t>
  </si>
  <si>
    <t>Years beyond 10 use your expected return.</t>
  </si>
  <si>
    <t>Social Security start age (62–70)</t>
  </si>
  <si>
    <t>Current 4% rule withdrawal if already retired (today's $/yr; 0 if not)</t>
  </si>
  <si>
    <t>Years total spending falls below essentials</t>
  </si>
  <si>
    <t>SOCIAL SECURITY — % of full benefit by start age</t>
  </si>
  <si>
    <t>— ESSENTIALS CHECK —</t>
  </si>
  <si>
    <t>Start age</t>
  </si>
  <si>
    <t>% of full</t>
  </si>
  <si>
    <t>MARKET SCENARIO</t>
  </si>
  <si>
    <t>Essential spending not covered by Social Security, once collecting (today's $)</t>
  </si>
  <si>
    <t>Market scenario (drives the return column)</t>
  </si>
  <si>
    <t>Steady</t>
  </si>
  <si>
    <t>LIFE EXPECTANCY ANCHORS (SSA cohort)</t>
  </si>
  <si>
    <t>Current age (for life expectancy)</t>
  </si>
  <si>
    <t>Remaining life expectancy at current age</t>
  </si>
  <si>
    <t>Remaining life expectancy at age 62</t>
  </si>
  <si>
    <t>Remaining life expectancy at age 67</t>
  </si>
  <si>
    <t>Remaining life expectancy at age 70</t>
  </si>
  <si>
    <t>Source: SSA, born 1960 or later (FRA 67). ssa.gov/benefits/retirement/planner/1960.html</t>
  </si>
  <si>
    <t>Visual comparison</t>
  </si>
  <si>
    <t>Educational illustration, not financial advice. Source: WSJ, "The 4% Rule for Retirement Is Too Simple. Here's a Better Way." Life-expectancy figures are SSA cohort life-table values (born 1960 or later).</t>
  </si>
  <si>
    <t>Dynamic Strategy — Year by Year</t>
  </si>
  <si>
    <t>Withdrawal = balance / remaining years, kept inside the guardrails, then limited by the shock absorber. Returns are linked to the 4% Rule tab for an apples-to-apples comparison.</t>
  </si>
  <si>
    <t>Age</t>
  </si>
  <si>
    <t>Remaining years</t>
  </si>
  <si>
    <t>Annual return</t>
  </si>
  <si>
    <t>Beginning balance</t>
  </si>
  <si>
    <t>Life-exp. withdrawal</t>
  </si>
  <si>
    <t>After guardrails</t>
  </si>
  <si>
    <t>Final withdrawal</t>
  </si>
  <si>
    <t>Final withdrawal (today's $)</t>
  </si>
  <si>
    <t>Implied rate</t>
  </si>
  <si>
    <t>Investment return</t>
  </si>
  <si>
    <t>Ending balance</t>
  </si>
  <si>
    <t>Ending balance (today's $)</t>
  </si>
  <si>
    <t>Total spending</t>
  </si>
  <si>
    <t>Total spending (today's $)</t>
  </si>
  <si>
    <t>4% Rule — Year by Year</t>
  </si>
  <si>
    <t>Year-1 withdrawal = 4% of the starting portfolio, then grown by inflation. The Annual return column is calculated from the Market scenario you choose on the Inputs &amp; Summary tab.</t>
  </si>
  <si>
    <t>Withdrawal</t>
  </si>
  <si>
    <t>Withdrawal (today's $)</t>
  </si>
  <si>
    <t>Remaining Life Expectancy — calculated</t>
  </si>
  <si>
    <t>Every value is interpolated from the Life Expectancy Anchors you set on the Inputs &amp; Summary tab (current age, 62, 67, 70). Ages beyond 70 or below your current age are extrapolated. Table covers ages 35-110.</t>
  </si>
  <si>
    <t>Anchor source: SSA Life Expectancy Calculator (ssa.gov/OACT/population/longevity.html).</t>
  </si>
  <si>
    <t>Basis</t>
  </si>
  <si>
    <t>Anchor age</t>
  </si>
  <si>
    <t>Anchor years</t>
  </si>
  <si>
    <t>Anchors 75+ scale from the age-70 value.</t>
  </si>
  <si>
    <t>The 4% Rule for Retirement Is Too Simple. Here's a Better Way.</t>
  </si>
  <si>
    <t>The Wall Street Journal · Personal Finance / Retirement</t>
  </si>
  <si>
    <t>https://www.wsj.com/personal-finance/retirement/retirement-planning-4-percent-rule-d5ba3a0b</t>
  </si>
  <si>
    <t>Most retirees are familiar with the 4% rule.</t>
  </si>
  <si>
    <t>It's the guide many financial pros have extolled for decades for the decumulation phase of retirement – the time when you finally start tapping the money you've spent decades (ideally) saving and investing.</t>
  </si>
  <si>
    <t>Withdraw 4% of your portfolio in the first year of retirement, then adjust that amount for inflation every year thereafter. If your portfolio starts out at $1 million, for instance, you spend $40,000 the first year, then $40,000 plus inflation the next year, and so on.</t>
  </si>
  <si>
    <t>The rule was devised in 1994 by financial adviser William Bengen after research showed that retirees with a balanced stock-and-bond portfolio who followed that math wouldn't have run out of money over any 30-year period since 1926 – even when economic conditions were bad.</t>
  </si>
  <si>
    <t>It's pretty simple. Maybe too simple.</t>
  </si>
  <si>
    <t>The 4% rule has some blind spots. It assumes a 30-year retirement, but some retirees will need their money to last longer than that. It also assumes the markets will perform as well as they have over the past century. As a result, researchers have been lowering or raising the figure for years. Investment research firm Morningstar revises its estimate annually; it was 3.3% in 2021 and 3.9% this year. Bengen himself has said that a safe number could now be 4.7%.</t>
  </si>
  <si>
    <t>The rule's deeper problem is its rigidity. Your portfolio amount could double in a market boom during retirement and the rule would still limit you to the same inflation-adjusted amount, which would be unnecessarily frugal. More concerning, your assets could fall by a third and the rule wouldn't tell you to curtail your spending. You would have to liquidate a bigger portion of your portfolio to withdraw the prescribed amount. If that happens a few years in a row, you run a real risk of eventually outliving your money, despite what the historical data say.</t>
  </si>
  <si>
    <t>The good news is that there are ways to make retirement spending more responsive to how long you're likely to live and how markets perform. Use the 4% rule as a reference point, rather than have it be the full plan.</t>
  </si>
  <si>
    <t>Your life expectancy matters</t>
  </si>
  <si>
    <t>Instead of spending a fixed inflation-adjusted dollar amount every year, you need to factor in your life expectancy and the size of your portfolio and then adjust accordingly.</t>
  </si>
  <si>
    <t>You divide your current portfolio balance by the number of years you can expect to live, and spend that much in the coming year. The following year, you do the math again with your new portfolio balance and your new remaining life expectancy. (You can find your life expectancy at your current age in the Social Security Administration's life tables, which are updated annually. Keep in mind that tables don't apply to any specific person; they don't factor in health issues or family medical history. You may want to be conservative and go beyond your life expectancy, or take a chance and reduce it.)</t>
  </si>
  <si>
    <t>If you're a 70-year-old woman, for instance, your remaining life expectancy is about 16 years. So you would divide your portfolio into sixteenths and spend one of them this year. A year later, you would recalculate using your new balance and your new life expectancy of 15 years, and so on. This allows your spending to rise when your portfolio is up and fall when it's down.</t>
  </si>
  <si>
    <t>This actuarial approach lessens the chance you'll run out of money, and it lets good market returns flow through to higher spending.</t>
  </si>
  <si>
    <t>Spending too much – or not enough</t>
  </si>
  <si>
    <t>But it introduces a new problem: too much fluctuation in your spending.</t>
  </si>
  <si>
    <t>If markets drop 30% in a bad year, your spending drops by roughly 30%, too. If markets surge in a year when the life tables say your remaining expectancy is five years, the formula tells you to spend a fifth of your portfolio – probably far more than you need or want.</t>
  </si>
  <si>
    <t>The fix is to put guardrails on the actuarial approach, using the 4% rule as your anchor. You set an upper and lower band around it – say, 3% of assets on the low end and 6% on the high end. Each year, you do the actuarial calculation and check the result against the band.</t>
  </si>
  <si>
    <t>If the implied withdrawal rate falls inside the guardrails, you're fine. If your spending would exceed 6% of your portfolio, you cap your spending at 6%. If your spending would fall below 3%, you spend at least 3%. The guardrails work like a financial thermostat. The 4% rule sits near the center of the band as the familiar reference point most retirees already know.</t>
  </si>
  <si>
    <t>But if markets fluctuate a lot, you could still be in for a shock. Say markets fall sharply and the guardrails tell you to cut spending by a quarter to get back inside the band. That could be wrenching for a lot of retirees.</t>
  </si>
  <si>
    <t>So here's a third fix: a shock absorber, like the ones some actual roadside guardrails have.</t>
  </si>
  <si>
    <t>You cap year-to-year spending changes at, say, plus or minus 5%. Even if the guardrails say to cut more aggressively, you never cut by more than 5% in a single year. Same on the upside. Your spending won't swing chaotically between feast and famine.</t>
  </si>
  <si>
    <t>Essential vs. discretionary</t>
  </si>
  <si>
    <t>The trade-off for the shock absorption is that in a deep, sustained downturn, your portfolio will be exposed to more drawdown than a stricter rule would allow. So the shock absorber works best for retirees with some cushion above their essential spending.</t>
  </si>
  <si>
    <t>That points to the next refinement.</t>
  </si>
  <si>
    <t>None of the changes so far distinguish between the spending you have to do and the spending you would like to do. If you feel any of these strategies leaves you too vulnerable to market swings or a surprisingly long life, you can calculate the expenses you absolutely need to cover – food, healthcare, rent and the like – and pay for those with guaranteed income such as Social Security benefits or an annuity.</t>
  </si>
  <si>
    <t>Then you can apply a dynamic withdrawal strategy, with the guardrails and shock absorber discussed above, to the spending that remains. You can afford to take more risk, and probably earn higher returns, with your discretionary portfolio because you know the essentials are covered.</t>
  </si>
  <si>
    <t>None of these refinements is perfect. Each retiree has personal factors that could change the math, and the account order above will have exceptions in particular tax situations. There are software tools that run the calculations back and forth until they converge on an answer for a given person's circumstances. Realistically, though, most people won't use such tools routinely, if at all.</t>
  </si>
  <si>
    <t>A dynamic strategy – with the 4% rule as a reference point – is practicable without specialized software. And it should help you enjoy your nest egg and not outlive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</si>
</sst>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quot;"/>
    <numFmt numFmtId="165" formatCode="0.0%"/>
    <numFmt numFmtId="166" formatCode="0.0"/>
  </numFmts>
  <fonts count="20" x14ac:knownFonts="1">
    <font>
      <sz val="11"/>
      <color theme="1"/>
      <name val="Calibri"/>
      <family val="2"/>
      <scheme val="minor"/>
    </font>
    <font>
      <b/>
      <sz val="16"/>
      <color rgb="FF242424"/>
      <name val="Arial"/>
    </font>
    <font>
      <i/>
      <sz val="9"/>
      <color rgb="FF595959"/>
      <name val="Arial"/>
    </font>
    <font>
      <b/>
      <sz val="11"/>
      <color rgb="FF1F3864"/>
      <name val="Arial"/>
    </font>
    <font>
      <b/>
      <sz val="11"/>
      <color rgb="FFFFFFFF"/>
      <name val="Arial"/>
    </font>
    <font>
      <sz val="11"/>
      <color rgb="FF000000"/>
      <name val="Arial"/>
    </font>
    <font>
      <sz val="11"/>
      <color rgb="FF595959"/>
      <name val="Arial"/>
    </font>
    <font>
      <i/>
      <sz val="8"/>
      <color rgb="FF808080"/>
      <name val="Arial"/>
    </font>
    <font>
      <b/>
      <sz val="11"/>
      <color rgb="FF0078D4"/>
      <name val="Arial"/>
    </font>
    <font>
      <sz val="11"/>
      <color rgb="FF008000"/>
      <name val="Arial"/>
    </font>
    <font>
      <b/>
      <sz val="12"/>
      <color rgb="FF242424"/>
      <name val="Arial"/>
    </font>
    <font>
      <b/>
      <sz val="14"/>
      <color rgb="FF242424"/>
      <name val="Arial"/>
    </font>
    <font>
      <sz val="11"/>
      <color rgb="FF808080"/>
      <name val="Arial"/>
    </font>
    <font>
      <sz val="9"/>
      <color rgb="FF808080"/>
      <name val="Arial"/>
    </font>
    <font>
      <b/>
      <sz val="11"/>
      <color rgb="FF000000"/>
      <name val="Arial"/>
    </font>
    <font>
      <b/>
      <sz val="18"/>
      <color rgb="FF242424"/>
      <name val="Arial"/>
    </font>
    <font>
      <i/>
      <sz val="9"/>
      <color rgb="FF808080"/>
      <name val="Arial"/>
    </font>
    <font>
      <u/>
      <sz val="10"/>
      <color rgb="FF0563C1"/>
      <name val="Arial"/>
    </font>
    <font>
      <sz val="11"/>
      <color rgb="FF242424"/>
      <name val="Arial"/>
    </font>
    <font>
      <b/>
      <sz val="13"/>
      <color rgb="FF0078D4"/>
      <name val="Arial"/>
    </font>
  </fonts>
  <fills count="6">
    <fill>
      <patternFill patternType="none"/>
    </fill>
    <fill>
      <patternFill patternType="gray125"/>
    </fill>
    <fill>
      <patternFill patternType="solid">
        <fgColor rgb="FFDEECF9"/>
      </patternFill>
    </fill>
    <fill>
      <patternFill patternType="solid">
        <fgColor rgb="FF0078D4"/>
      </patternFill>
    </fill>
    <fill>
      <patternFill patternType="solid">
        <fgColor rgb="FFFFFF00"/>
      </patternFill>
    </fill>
    <fill>
      <patternFill patternType="solid">
        <fgColor rgb="FFF3F2F1"/>
      </patternFill>
    </fill>
  </fills>
  <borders count="4">
    <border>
      <left/>
      <right/>
      <top/>
      <bottom/>
      <diagonal/>
    </border>
    <border>
      <left style="thin">
        <color rgb="FF0078D4"/>
      </left>
      <right style="thin">
        <color rgb="FF0078D4"/>
      </right>
      <top style="thin">
        <color rgb="FF0078D4"/>
      </top>
      <bottom style="thin">
        <color rgb="FF0078D4"/>
      </bottom>
      <diagonal/>
    </border>
    <border>
      <left/>
      <right/>
      <top/>
      <bottom style="thin">
        <color rgb="FF80808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3">
    <xf numFmtId="0" fontId="0" fillId="0" borderId="0" xfId="0"/>
    <xf numFmtId="0" fontId="15" fillId="0" borderId="0" xfId="0" applyFont="1" applyAlignment="1">
      <alignment vertical="top" wrapText="1"/>
    </xf>
    <xf numFmtId="0" fontId="18" fillId="0" borderId="0" xfId="0" applyFont="1" applyAlignment="1">
      <alignment vertical="top" wrapText="1"/>
    </xf>
    <xf numFmtId="0" fontId="19" fillId="0" borderId="0" xfId="0" applyFont="1" applyAlignment="1">
      <alignment vertical="top" wrapText="1"/>
    </xf>
    <xf numFmtId="0" fontId="1" fillId="0" borderId="0" xfId="0" applyFont="1"/>
    <xf numFmtId="0" fontId="2" fillId="0" borderId="0" xfId="0" applyFont="1"/>
    <xf numFmtId="0" fontId="4" fillId="3" borderId="0" xfId="0" applyFont="1" applyFill="1"/>
    <xf numFmtId="0" fontId="0" fillId="3" borderId="0" xfId="0" applyFill="1"/>
    <xf numFmtId="0" fontId="4" fillId="3" borderId="3" xfId="0" applyFont="1" applyFill="1" applyBorder="1" applyAlignment="1">
      <alignment horizontal="center" vertical="center" wrapText="1"/>
    </xf>
    <xf numFmtId="0" fontId="5" fillId="0" borderId="0" xfId="0" applyFont="1"/>
    <xf numFmtId="1" fontId="5" fillId="4" borderId="2" xfId="0" applyNumberFormat="1" applyFont="1" applyFill="1" applyBorder="1" applyAlignment="1" applyProtection="1">
      <alignment horizontal="right"/>
      <protection locked="0"/>
    </xf>
    <xf numFmtId="1" fontId="5" fillId="0" borderId="2" xfId="0" applyNumberFormat="1" applyFont="1" applyBorder="1" applyAlignment="1">
      <alignment horizontal="right"/>
    </xf>
    <xf numFmtId="0" fontId="5" fillId="0" borderId="0" xfId="0" applyFont="1" applyAlignment="1">
      <alignment horizontal="center"/>
    </xf>
    <xf numFmtId="165" fontId="5" fillId="4" borderId="0" xfId="0" applyNumberFormat="1" applyFont="1" applyFill="1" applyProtection="1">
      <protection locked="0"/>
    </xf>
    <xf numFmtId="0" fontId="8" fillId="0" borderId="0" xfId="0" applyFont="1"/>
    <xf numFmtId="164" fontId="5" fillId="4" borderId="2" xfId="0" applyNumberFormat="1" applyFont="1" applyFill="1" applyBorder="1" applyAlignment="1" applyProtection="1">
      <alignment horizontal="right"/>
      <protection locked="0"/>
    </xf>
    <xf numFmtId="164" fontId="9" fillId="0" borderId="2" xfId="0" applyNumberFormat="1" applyFont="1" applyBorder="1" applyAlignment="1">
      <alignment horizontal="right"/>
    </xf>
    <xf numFmtId="165" fontId="5" fillId="4" borderId="2" xfId="0" applyNumberFormat="1" applyFont="1" applyFill="1" applyBorder="1" applyAlignment="1" applyProtection="1">
      <alignment horizontal="right"/>
      <protection locked="0"/>
    </xf>
    <xf numFmtId="0" fontId="9" fillId="0" borderId="2" xfId="0" applyFont="1" applyBorder="1" applyAlignment="1">
      <alignment horizontal="right"/>
    </xf>
    <xf numFmtId="165" fontId="6" fillId="0" borderId="0" xfId="0" applyNumberFormat="1" applyFont="1"/>
    <xf numFmtId="0" fontId="7" fillId="0" borderId="0" xfId="0" applyFont="1"/>
    <xf numFmtId="164" fontId="5" fillId="0" borderId="2" xfId="0" applyNumberFormat="1" applyFont="1" applyBorder="1" applyAlignment="1">
      <alignment horizontal="right"/>
    </xf>
    <xf numFmtId="165" fontId="6" fillId="0" borderId="0" xfId="0" applyNumberFormat="1" applyFont="1" applyAlignment="1">
      <alignment horizontal="center"/>
    </xf>
    <xf numFmtId="0" fontId="5" fillId="4" borderId="2" xfId="0" applyFont="1" applyFill="1" applyBorder="1" applyAlignment="1" applyProtection="1">
      <alignment horizontal="right"/>
      <protection locked="0"/>
    </xf>
    <xf numFmtId="166" fontId="5" fillId="4" borderId="2" xfId="0" applyNumberFormat="1" applyFont="1" applyFill="1" applyBorder="1" applyAlignment="1" applyProtection="1">
      <alignment horizontal="right"/>
      <protection locked="0"/>
    </xf>
    <xf numFmtId="0" fontId="10" fillId="0" borderId="0" xfId="0" applyFont="1"/>
    <xf numFmtId="0" fontId="11" fillId="0" borderId="0" xfId="0" applyFont="1"/>
    <xf numFmtId="165" fontId="9" fillId="0" borderId="0" xfId="0" applyNumberFormat="1" applyFont="1"/>
    <xf numFmtId="164" fontId="5" fillId="0" borderId="0" xfId="0" applyNumberFormat="1" applyFont="1"/>
    <xf numFmtId="164" fontId="14" fillId="0" borderId="0" xfId="0" applyNumberFormat="1" applyFont="1"/>
    <xf numFmtId="164" fontId="6" fillId="0" borderId="0" xfId="0" applyNumberFormat="1" applyFont="1"/>
    <xf numFmtId="10" fontId="5" fillId="0" borderId="0" xfId="0" applyNumberFormat="1" applyFont="1"/>
    <xf numFmtId="164" fontId="12" fillId="0" borderId="0" xfId="0" applyNumberFormat="1" applyFont="1"/>
    <xf numFmtId="0" fontId="5" fillId="5" borderId="0" xfId="0" applyFont="1" applyFill="1"/>
    <xf numFmtId="165" fontId="9" fillId="5" borderId="0" xfId="0" applyNumberFormat="1" applyFont="1" applyFill="1"/>
    <xf numFmtId="164" fontId="5" fillId="5" borderId="0" xfId="0" applyNumberFormat="1" applyFont="1" applyFill="1"/>
    <xf numFmtId="164" fontId="14" fillId="5" borderId="0" xfId="0" applyNumberFormat="1" applyFont="1" applyFill="1"/>
    <xf numFmtId="164" fontId="6" fillId="5" borderId="0" xfId="0" applyNumberFormat="1" applyFont="1" applyFill="1"/>
    <xf numFmtId="10" fontId="5" fillId="5" borderId="0" xfId="0" applyNumberFormat="1" applyFont="1" applyFill="1"/>
    <xf numFmtId="164" fontId="12" fillId="5" borderId="0" xfId="0" applyNumberFormat="1" applyFont="1" applyFill="1"/>
    <xf numFmtId="166" fontId="5" fillId="0" borderId="0" xfId="0" applyNumberFormat="1" applyFont="1"/>
    <xf numFmtId="0" fontId="13" fillId="0" borderId="0" xfId="0" applyFont="1"/>
    <xf numFmtId="1" fontId="12" fillId="0" borderId="0" xfId="0" applyNumberFormat="1" applyFont="1"/>
    <xf numFmtId="166" fontId="12" fillId="0" borderId="0" xfId="0" applyNumberFormat="1" applyFont="1"/>
    <xf numFmtId="1" fontId="5" fillId="0" borderId="0" xfId="0" applyNumberFormat="1" applyFont="1"/>
    <xf numFmtId="0" fontId="16" fillId="0" borderId="0" xfId="0" applyFont="1" applyAlignment="1">
      <alignment vertical="top" wrapText="1"/>
    </xf>
    <xf numFmtId="0" fontId="17" fillId="0" borderId="0" xfId="0" applyFont="1" applyAlignment="1">
      <alignment vertical="top" wrapText="1"/>
    </xf>
    <xf numFmtId="0" fontId="7" fillId="0" borderId="0" xfId="0" applyFont="1"/>
    <xf numFmtId="0" fontId="0" fillId="0" borderId="0" xfId="0"/>
    <xf numFmtId="0" fontId="3" fillId="2" borderId="1" xfId="0" applyFont="1" applyFill="1" applyBorder="1" applyAlignment="1">
      <alignment horizontal="left" vertical="center" wrapText="1"/>
    </xf>
    <xf numFmtId="0" fontId="4" fillId="3" borderId="0" xfId="0" applyFont="1" applyFill="1"/>
    <xf numFmtId="0" fontId="0" fillId="3" borderId="0" xfId="0" applyFill="1"/>
    <xf numFmtId="0" fontId="2" fillId="0" borderId="0" xfId="0" applyFont="1"/>
  </cellXfs>
  <cellStyles count="1">
    <cellStyle name="Normal" xfId="0" builtinId="0"/>
  </cellStyles>
  <dxfs count="9">
    <dxf>
      <font>
        <color rgb="FF9C0006"/>
        <name val="Arial"/>
      </font>
      <fill>
        <patternFill patternType="solid">
          <fgColor rgb="FFFFC7CE"/>
        </patternFill>
      </fill>
    </dxf>
    <dxf>
      <font>
        <color rgb="FF9C0006"/>
        <name val="Arial"/>
      </font>
      <fill>
        <patternFill patternType="solid">
          <fgColor rgb="FFFFC7CE"/>
        </patternFill>
      </fill>
    </dxf>
    <dxf>
      <font>
        <color rgb="FF9C0006"/>
        <name val="Arial"/>
      </font>
      <fill>
        <patternFill patternType="solid">
          <fgColor rgb="FFFFC7CE"/>
        </patternFill>
      </fill>
    </dxf>
    <dxf>
      <font>
        <b/>
        <color rgb="FF9C0006"/>
        <name val="Arial"/>
      </font>
      <fill>
        <patternFill patternType="solid">
          <fgColor rgb="FFFFC7CE"/>
        </patternFill>
      </fill>
    </dxf>
    <dxf>
      <font>
        <b/>
        <color rgb="FF006100"/>
        <name val="Arial"/>
      </font>
      <fill>
        <patternFill patternType="solid">
          <fgColor rgb="FFC6EFCE"/>
        </patternFill>
      </fill>
    </dxf>
    <dxf>
      <font>
        <b/>
        <color rgb="FF9C0006"/>
        <name val="Arial"/>
      </font>
      <fill>
        <patternFill patternType="solid">
          <fgColor rgb="FFFFC7CE"/>
        </patternFill>
      </fill>
    </dxf>
    <dxf>
      <font>
        <b/>
        <color rgb="FF006100"/>
        <name val="Arial"/>
      </font>
      <fill>
        <patternFill patternType="solid">
          <fgColor rgb="FFC6EFCE"/>
        </patternFill>
      </fill>
    </dxf>
    <dxf>
      <font>
        <b/>
        <color rgb="FF9C0006"/>
        <name val="Arial"/>
      </font>
      <fill>
        <patternFill patternType="solid">
          <fgColor rgb="FFFFC7CE"/>
        </patternFill>
      </fill>
    </dxf>
    <dxf>
      <font>
        <b/>
        <color rgb="FF006100"/>
        <name val="Arial"/>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Portfolio balance over time</a:t>
            </a:r>
          </a:p>
        </c:rich>
      </c:tx>
      <c:overlay val="1"/>
    </c:title>
    <c:autoTitleDeleted val="0"/>
    <c:plotArea>
      <c:layout/>
      <c:lineChart>
        <c:grouping val="standard"/>
        <c:varyColors val="1"/>
        <c:ser>
          <c:idx val="0"/>
          <c:order val="0"/>
          <c:tx>
            <c:v>4% rule</c:v>
          </c:tx>
          <c:spPr>
            <a:ln>
              <a:prstDash val="solid"/>
            </a:ln>
          </c:spPr>
          <c:marker>
            <c:symbol val="none"/>
          </c:marker>
          <c:cat>
            <c:numRef>
              <c:f>'4% Rule'!$B$5:$B$50</c:f>
              <c:numCache>
                <c:formatCode>General</c:formatCode>
                <c:ptCount val="46"/>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numCache>
            </c:numRef>
          </c:cat>
          <c:val>
            <c:numRef>
              <c:f>'4% Rule'!$H$5:$H$50</c:f>
              <c:numCache>
                <c:formatCode>\$#,##0;\(\$#,##0\);"-"</c:formatCode>
                <c:ptCount val="46"/>
                <c:pt idx="0">
                  <c:v>3561600</c:v>
                </c:pt>
                <c:pt idx="1">
                  <c:v>3622444</c:v>
                </c:pt>
                <c:pt idx="2">
                  <c:v>3682353.08</c:v>
                </c:pt>
                <c:pt idx="3">
                  <c:v>3741133.5780000002</c:v>
                </c:pt>
                <c:pt idx="4">
                  <c:v>3798576.0852760002</c:v>
                </c:pt>
                <c:pt idx="5">
                  <c:v>3854454.3777664402</c:v>
                </c:pt>
                <c:pt idx="6">
                  <c:v>3908524.2796275234</c:v>
                </c:pt>
                <c:pt idx="7">
                  <c:v>3960522.4547761241</c:v>
                </c:pt>
                <c:pt idx="8">
                  <c:v>4010165.1219847691</c:v>
                </c:pt>
                <c:pt idx="9">
                  <c:v>4057146.6888235956</c:v>
                </c:pt>
                <c:pt idx="10">
                  <c:v>4101138.299458344</c:v>
                </c:pt>
                <c:pt idx="11">
                  <c:v>4141786.291010337</c:v>
                </c:pt>
                <c:pt idx="12">
                  <c:v>4178710.5528629841</c:v>
                </c:pt>
                <c:pt idx="13">
                  <c:v>4211502.7829585513</c:v>
                </c:pt>
                <c:pt idx="14">
                  <c:v>4239724.6347675659</c:v>
                </c:pt>
                <c:pt idx="15">
                  <c:v>4262905.7482300662</c:v>
                </c:pt>
                <c:pt idx="16">
                  <c:v>4280541.6575616095</c:v>
                </c:pt>
                <c:pt idx="17">
                  <c:v>4292091.5683861785</c:v>
                </c:pt>
                <c:pt idx="18">
                  <c:v>4296975.9962013476</c:v>
                </c:pt>
                <c:pt idx="19">
                  <c:v>4294574.2576967869</c:v>
                </c:pt>
                <c:pt idx="20">
                  <c:v>4284221.8059336534</c:v>
                </c:pt>
                <c:pt idx="21">
                  <c:v>4265207.3998479834</c:v>
                </c:pt>
                <c:pt idx="22">
                  <c:v>4236770.0979639227</c:v>
                </c:pt>
                <c:pt idx="23">
                  <c:v>4198096.0655905697</c:v>
                </c:pt>
                <c:pt idx="24">
                  <c:v>4148315.18412728</c:v>
                </c:pt>
                <c:pt idx="25">
                  <c:v>4086497.450414231</c:v>
                </c:pt>
                <c:pt idx="26">
                  <c:v>4011649.1533355787</c:v>
                </c:pt>
                <c:pt idx="27">
                  <c:v>3922708.8141091024</c:v>
                </c:pt>
                <c:pt idx="28">
                  <c:v>3818542.875876239</c:v>
                </c:pt>
                <c:pt idx="29">
                  <c:v>3697941.1273370213</c:v>
                </c:pt>
                <c:pt idx="30">
                  <c:v>3559611.8442526967</c:v>
                </c:pt>
                <c:pt idx="31">
                  <c:v>3402176.6316615762</c:v>
                </c:pt>
                <c:pt idx="32">
                  <c:v>3224164.9486176004</c:v>
                </c:pt>
                <c:pt idx="33">
                  <c:v>3024008.2961626756</c:v>
                </c:pt>
                <c:pt idx="34">
                  <c:v>2800034.048079296</c:v>
                </c:pt>
                <c:pt idx="35">
                  <c:v>2550458.902735319</c:v>
                </c:pt>
                <c:pt idx="36">
                  <c:v>2273381.9330238421</c:v>
                </c:pt>
                <c:pt idx="37">
                  <c:v>1966777.2100134084</c:v>
                </c:pt>
                <c:pt idx="38">
                  <c:v>1628485.9744525927</c:v>
                </c:pt>
                <c:pt idx="39">
                  <c:v>1256208.3287132795</c:v>
                </c:pt>
                <c:pt idx="40">
                  <c:v>847494.4201034134</c:v>
                </c:pt>
                <c:pt idx="41">
                  <c:v>399735.08472697547</c:v>
                </c:pt>
                <c:pt idx="42">
                  <c:v>0</c:v>
                </c:pt>
                <c:pt idx="43">
                  <c:v>0</c:v>
                </c:pt>
                <c:pt idx="44">
                  <c:v>0</c:v>
                </c:pt>
                <c:pt idx="45">
                  <c:v>0</c:v>
                </c:pt>
              </c:numCache>
            </c:numRef>
          </c:val>
          <c:smooth val="1"/>
          <c:extLst>
            <c:ext xmlns:c16="http://schemas.microsoft.com/office/drawing/2014/chart" uri="{C3380CC4-5D6E-409C-BE32-E72D297353CC}">
              <c16:uniqueId val="{00000000-99ED-4F6D-BE4A-569B6888FE2B}"/>
            </c:ext>
          </c:extLst>
        </c:ser>
        <c:ser>
          <c:idx val="1"/>
          <c:order val="1"/>
          <c:tx>
            <c:v>Dynamic strategy</c:v>
          </c:tx>
          <c:spPr>
            <a:ln>
              <a:prstDash val="solid"/>
            </a:ln>
          </c:spPr>
          <c:marker>
            <c:symbol val="none"/>
          </c:marker>
          <c:cat>
            <c:numRef>
              <c:f>'4% Rule'!$B$5:$B$50</c:f>
              <c:numCache>
                <c:formatCode>General</c:formatCode>
                <c:ptCount val="46"/>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numCache>
            </c:numRef>
          </c:cat>
          <c:val>
            <c:numRef>
              <c:f>'Dynamic Strategy'!$L$5:$L$50</c:f>
              <c:numCache>
                <c:formatCode>\$#,##0;\(\$#,##0\);"-"</c:formatCode>
                <c:ptCount val="46"/>
                <c:pt idx="0">
                  <c:v>3593333.3333333335</c:v>
                </c:pt>
                <c:pt idx="1">
                  <c:v>3686433.3333333335</c:v>
                </c:pt>
                <c:pt idx="2">
                  <c:v>3778994.3333333335</c:v>
                </c:pt>
                <c:pt idx="3">
                  <c:v>3870677.7433333336</c:v>
                </c:pt>
                <c:pt idx="4">
                  <c:v>3961109.3454333334</c:v>
                </c:pt>
                <c:pt idx="5">
                  <c:v>4049876.3905343334</c:v>
                </c:pt>
                <c:pt idx="6">
                  <c:v>4136524.4825601433</c:v>
                </c:pt>
                <c:pt idx="7">
                  <c:v>4220554.2355371891</c:v>
                </c:pt>
                <c:pt idx="8">
                  <c:v>4301417.6878940295</c:v>
                </c:pt>
                <c:pt idx="9">
                  <c:v>4378514.457303511</c:v>
                </c:pt>
                <c:pt idx="10">
                  <c:v>4451187.6182843531</c:v>
                </c:pt>
                <c:pt idx="11">
                  <c:v>4518719.2836011779</c:v>
                </c:pt>
                <c:pt idx="12">
                  <c:v>4580325.869248</c:v>
                </c:pt>
                <c:pt idx="13">
                  <c:v>4635153.0214651693</c:v>
                </c:pt>
                <c:pt idx="14">
                  <c:v>4682270.1828184826</c:v>
                </c:pt>
                <c:pt idx="15">
                  <c:v>4720664.7728562644</c:v>
                </c:pt>
                <c:pt idx="16">
                  <c:v>4749235.9572497476</c:v>
                </c:pt>
                <c:pt idx="17">
                  <c:v>4766787.977607945</c:v>
                </c:pt>
                <c:pt idx="18">
                  <c:v>4773635.2973547848</c:v>
                </c:pt>
                <c:pt idx="19">
                  <c:v>4769245.7476560678</c:v>
                </c:pt>
                <c:pt idx="20">
                  <c:v>4752681.9001492383</c:v>
                </c:pt>
                <c:pt idx="21">
                  <c:v>4735572.2453087009</c:v>
                </c:pt>
                <c:pt idx="22">
                  <c:v>4718524.1852255901</c:v>
                </c:pt>
                <c:pt idx="23">
                  <c:v>4701537.4981587781</c:v>
                </c:pt>
                <c:pt idx="24">
                  <c:v>4684611.9631654061</c:v>
                </c:pt>
                <c:pt idx="25">
                  <c:v>4667747.3600980099</c:v>
                </c:pt>
                <c:pt idx="26">
                  <c:v>4650943.4696016572</c:v>
                </c:pt>
                <c:pt idx="27">
                  <c:v>4634200.0731110917</c:v>
                </c:pt>
                <c:pt idx="28">
                  <c:v>4617516.9528478924</c:v>
                </c:pt>
                <c:pt idx="29">
                  <c:v>4600893.8918176405</c:v>
                </c:pt>
                <c:pt idx="30">
                  <c:v>4584330.6738070967</c:v>
                </c:pt>
                <c:pt idx="31">
                  <c:v>4567827.0833813911</c:v>
                </c:pt>
                <c:pt idx="32">
                  <c:v>4551382.9058812186</c:v>
                </c:pt>
                <c:pt idx="33">
                  <c:v>4534997.9274200462</c:v>
                </c:pt>
                <c:pt idx="34">
                  <c:v>4518671.9348813342</c:v>
                </c:pt>
                <c:pt idx="35">
                  <c:v>4502404.715915761</c:v>
                </c:pt>
                <c:pt idx="36">
                  <c:v>4486196.0589384651</c:v>
                </c:pt>
                <c:pt idx="37">
                  <c:v>4470045.7531262869</c:v>
                </c:pt>
                <c:pt idx="38">
                  <c:v>4453953.5884150323</c:v>
                </c:pt>
                <c:pt idx="39">
                  <c:v>4437919.3554967381</c:v>
                </c:pt>
                <c:pt idx="40">
                  <c:v>4421942.8458169494</c:v>
                </c:pt>
                <c:pt idx="41">
                  <c:v>4406023.8515720088</c:v>
                </c:pt>
                <c:pt idx="42">
                  <c:v>4390162.1657063495</c:v>
                </c:pt>
                <c:pt idx="43">
                  <c:v>4374357.5819098065</c:v>
                </c:pt>
                <c:pt idx="44">
                  <c:v>4358609.8946149312</c:v>
                </c:pt>
                <c:pt idx="45">
                  <c:v>4342918.8989943173</c:v>
                </c:pt>
              </c:numCache>
            </c:numRef>
          </c:val>
          <c:smooth val="1"/>
          <c:extLst>
            <c:ext xmlns:c16="http://schemas.microsoft.com/office/drawing/2014/chart" uri="{C3380CC4-5D6E-409C-BE32-E72D297353CC}">
              <c16:uniqueId val="{00000001-99ED-4F6D-BE4A-569B6888FE2B}"/>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Age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Balance ($)</a:t>
                </a:r>
              </a:p>
            </c:rich>
          </c:tx>
          <c:overlay val="1"/>
        </c:title>
        <c:numFmt formatCode="\$#,##0;\(\$#,##0\);&quot;-&quot;"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Annual portfolio withdrawal (today's dollars)</a:t>
            </a:r>
          </a:p>
        </c:rich>
      </c:tx>
      <c:overlay val="1"/>
    </c:title>
    <c:autoTitleDeleted val="0"/>
    <c:plotArea>
      <c:layout/>
      <c:lineChart>
        <c:grouping val="standard"/>
        <c:varyColors val="1"/>
        <c:ser>
          <c:idx val="0"/>
          <c:order val="0"/>
          <c:tx>
            <c:v>4% rule</c:v>
          </c:tx>
          <c:spPr>
            <a:ln>
              <a:prstDash val="solid"/>
            </a:ln>
          </c:spPr>
          <c:marker>
            <c:symbol val="none"/>
          </c:marker>
          <c:cat>
            <c:numRef>
              <c:f>'4% Rule'!$B$5:$B$50</c:f>
              <c:numCache>
                <c:formatCode>General</c:formatCode>
                <c:ptCount val="46"/>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numCache>
            </c:numRef>
          </c:cat>
          <c:val>
            <c:numRef>
              <c:f>'4% Rule'!$F$5:$F$50</c:f>
              <c:numCache>
                <c:formatCode>\$#,##0;\(\$#,##0\);"-"</c:formatCode>
                <c:ptCount val="46"/>
                <c:pt idx="0">
                  <c:v>140000</c:v>
                </c:pt>
                <c:pt idx="1">
                  <c:v>140000</c:v>
                </c:pt>
                <c:pt idx="2">
                  <c:v>140000</c:v>
                </c:pt>
                <c:pt idx="3">
                  <c:v>140000</c:v>
                </c:pt>
                <c:pt idx="4">
                  <c:v>140000</c:v>
                </c:pt>
                <c:pt idx="5">
                  <c:v>140000.00000000003</c:v>
                </c:pt>
                <c:pt idx="6">
                  <c:v>140000</c:v>
                </c:pt>
                <c:pt idx="7">
                  <c:v>140000</c:v>
                </c:pt>
                <c:pt idx="8">
                  <c:v>140000.00000000003</c:v>
                </c:pt>
                <c:pt idx="9">
                  <c:v>140000.00000000003</c:v>
                </c:pt>
                <c:pt idx="10">
                  <c:v>140000.00000000003</c:v>
                </c:pt>
                <c:pt idx="11">
                  <c:v>140000</c:v>
                </c:pt>
                <c:pt idx="12">
                  <c:v>140000.00000000003</c:v>
                </c:pt>
                <c:pt idx="13">
                  <c:v>140000.00000000006</c:v>
                </c:pt>
                <c:pt idx="14">
                  <c:v>140000.00000000003</c:v>
                </c:pt>
                <c:pt idx="15">
                  <c:v>140000.00000000003</c:v>
                </c:pt>
                <c:pt idx="16">
                  <c:v>140000.00000000006</c:v>
                </c:pt>
                <c:pt idx="17">
                  <c:v>140000.00000000006</c:v>
                </c:pt>
                <c:pt idx="18">
                  <c:v>140000.00000000006</c:v>
                </c:pt>
                <c:pt idx="19">
                  <c:v>140000.00000000006</c:v>
                </c:pt>
                <c:pt idx="20">
                  <c:v>140000.00000000006</c:v>
                </c:pt>
                <c:pt idx="21">
                  <c:v>140000.00000000009</c:v>
                </c:pt>
                <c:pt idx="22">
                  <c:v>140000.00000000009</c:v>
                </c:pt>
                <c:pt idx="23">
                  <c:v>140000.00000000009</c:v>
                </c:pt>
                <c:pt idx="24">
                  <c:v>140000.00000000012</c:v>
                </c:pt>
                <c:pt idx="25">
                  <c:v>140000.00000000012</c:v>
                </c:pt>
                <c:pt idx="26">
                  <c:v>140000.00000000009</c:v>
                </c:pt>
                <c:pt idx="27">
                  <c:v>140000.00000000012</c:v>
                </c:pt>
                <c:pt idx="28">
                  <c:v>140000.00000000012</c:v>
                </c:pt>
                <c:pt idx="29">
                  <c:v>140000.00000000015</c:v>
                </c:pt>
                <c:pt idx="30">
                  <c:v>140000.00000000012</c:v>
                </c:pt>
                <c:pt idx="31">
                  <c:v>140000.00000000012</c:v>
                </c:pt>
                <c:pt idx="32">
                  <c:v>140000.00000000012</c:v>
                </c:pt>
                <c:pt idx="33">
                  <c:v>140000.00000000012</c:v>
                </c:pt>
                <c:pt idx="34">
                  <c:v>140000.00000000015</c:v>
                </c:pt>
                <c:pt idx="35">
                  <c:v>140000.00000000015</c:v>
                </c:pt>
                <c:pt idx="36">
                  <c:v>140000.00000000015</c:v>
                </c:pt>
                <c:pt idx="37">
                  <c:v>140000.00000000015</c:v>
                </c:pt>
                <c:pt idx="38">
                  <c:v>140000.00000000015</c:v>
                </c:pt>
                <c:pt idx="39">
                  <c:v>140000.00000000015</c:v>
                </c:pt>
                <c:pt idx="40">
                  <c:v>140000.00000000015</c:v>
                </c:pt>
                <c:pt idx="41">
                  <c:v>140000.00000000015</c:v>
                </c:pt>
                <c:pt idx="42">
                  <c:v>115507.13990041625</c:v>
                </c:pt>
                <c:pt idx="43">
                  <c:v>0</c:v>
                </c:pt>
                <c:pt idx="44">
                  <c:v>0</c:v>
                </c:pt>
                <c:pt idx="45">
                  <c:v>0</c:v>
                </c:pt>
              </c:numCache>
            </c:numRef>
          </c:val>
          <c:smooth val="1"/>
          <c:extLst>
            <c:ext xmlns:c16="http://schemas.microsoft.com/office/drawing/2014/chart" uri="{C3380CC4-5D6E-409C-BE32-E72D297353CC}">
              <c16:uniqueId val="{00000000-249C-4185-92F2-6D92C8500389}"/>
            </c:ext>
          </c:extLst>
        </c:ser>
        <c:ser>
          <c:idx val="1"/>
          <c:order val="1"/>
          <c:tx>
            <c:v>Dynamic strategy</c:v>
          </c:tx>
          <c:spPr>
            <a:ln>
              <a:prstDash val="solid"/>
            </a:ln>
          </c:spPr>
          <c:marker>
            <c:symbol val="none"/>
          </c:marker>
          <c:cat>
            <c:numRef>
              <c:f>'4% Rule'!$B$5:$B$50</c:f>
              <c:numCache>
                <c:formatCode>General</c:formatCode>
                <c:ptCount val="46"/>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numCache>
            </c:numRef>
          </c:cat>
          <c:val>
            <c:numRef>
              <c:f>'Dynamic Strategy'!$I$5:$I$50</c:f>
              <c:numCache>
                <c:formatCode>\$#,##0;\(\$#,##0\);"-"</c:formatCode>
                <c:ptCount val="46"/>
                <c:pt idx="0">
                  <c:v>110062.89308176101</c:v>
                </c:pt>
                <c:pt idx="1">
                  <c:v>112200.03663674666</c:v>
                </c:pt>
                <c:pt idx="2">
                  <c:v>114378.67812483884</c:v>
                </c:pt>
                <c:pt idx="3">
                  <c:v>116599.62333114639</c:v>
                </c:pt>
                <c:pt idx="4">
                  <c:v>118863.693687091</c:v>
                </c:pt>
                <c:pt idx="5">
                  <c:v>121171.72657421899</c:v>
                </c:pt>
                <c:pt idx="6">
                  <c:v>123524.57563391258</c:v>
                </c:pt>
                <c:pt idx="7">
                  <c:v>125923.11108311475</c:v>
                </c:pt>
                <c:pt idx="8">
                  <c:v>128368.22003618495</c:v>
                </c:pt>
                <c:pt idx="9">
                  <c:v>130860.80683300408</c:v>
                </c:pt>
                <c:pt idx="10">
                  <c:v>133401.79337345078</c:v>
                </c:pt>
                <c:pt idx="11">
                  <c:v>135992.11945837215</c:v>
                </c:pt>
                <c:pt idx="12">
                  <c:v>138632.74313717554</c:v>
                </c:pt>
                <c:pt idx="13">
                  <c:v>141324.64106216925</c:v>
                </c:pt>
                <c:pt idx="14">
                  <c:v>144068.80884978417</c:v>
                </c:pt>
                <c:pt idx="15">
                  <c:v>146866.26144880912</c:v>
                </c:pt>
                <c:pt idx="16">
                  <c:v>149718.0335157763</c:v>
                </c:pt>
                <c:pt idx="17">
                  <c:v>152625.17979763605</c:v>
                </c:pt>
                <c:pt idx="18">
                  <c:v>154695.33445839956</c:v>
                </c:pt>
                <c:pt idx="19">
                  <c:v>156456.17857342659</c:v>
                </c:pt>
                <c:pt idx="20">
                  <c:v>158120.70276846972</c:v>
                </c:pt>
                <c:pt idx="21">
                  <c:v>153288.04284308001</c:v>
                </c:pt>
                <c:pt idx="22">
                  <c:v>148287.5785328591</c:v>
                </c:pt>
                <c:pt idx="23">
                  <c:v>143450.23616518526</c:v>
                </c:pt>
                <c:pt idx="24">
                  <c:v>138770.69448057344</c:v>
                </c:pt>
                <c:pt idx="25">
                  <c:v>134243.8058062557</c:v>
                </c:pt>
                <c:pt idx="26">
                  <c:v>129864.59039354672</c:v>
                </c:pt>
                <c:pt idx="27">
                  <c:v>125628.23093993201</c:v>
                </c:pt>
                <c:pt idx="28">
                  <c:v>121530.06728985268</c:v>
                </c:pt>
                <c:pt idx="29">
                  <c:v>117565.59130835849</c:v>
                </c:pt>
                <c:pt idx="30">
                  <c:v>113730.44192198876</c:v>
                </c:pt>
                <c:pt idx="31">
                  <c:v>110020.40032142677</c:v>
                </c:pt>
                <c:pt idx="32">
                  <c:v>106431.38532065014</c:v>
                </c:pt>
                <c:pt idx="33">
                  <c:v>102959.44886747166</c:v>
                </c:pt>
                <c:pt idx="34">
                  <c:v>99600.771700532787</c:v>
                </c:pt>
                <c:pt idx="35">
                  <c:v>96351.659147971717</c:v>
                </c:pt>
                <c:pt idx="36">
                  <c:v>93208.537063144671</c:v>
                </c:pt>
                <c:pt idx="37">
                  <c:v>90167.9478929295</c:v>
                </c:pt>
                <c:pt idx="38">
                  <c:v>87226.54687428636</c:v>
                </c:pt>
                <c:pt idx="39">
                  <c:v>84381.098354892165</c:v>
                </c:pt>
                <c:pt idx="40">
                  <c:v>81628.472233800538</c:v>
                </c:pt>
                <c:pt idx="41">
                  <c:v>78965.640518212473</c:v>
                </c:pt>
                <c:pt idx="42">
                  <c:v>76389.673992569806</c:v>
                </c:pt>
                <c:pt idx="43">
                  <c:v>73897.738996307351</c:v>
                </c:pt>
                <c:pt idx="44">
                  <c:v>71487.094306719067</c:v>
                </c:pt>
                <c:pt idx="45">
                  <c:v>69155.088123509602</c:v>
                </c:pt>
              </c:numCache>
            </c:numRef>
          </c:val>
          <c:smooth val="1"/>
          <c:extLst>
            <c:ext xmlns:c16="http://schemas.microsoft.com/office/drawing/2014/chart" uri="{C3380CC4-5D6E-409C-BE32-E72D297353CC}">
              <c16:uniqueId val="{00000001-249C-4185-92F2-6D92C8500389}"/>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t>Age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Withdrawal ($, today's buying power)</a:t>
                </a:r>
              </a:p>
            </c:rich>
          </c:tx>
          <c:overlay val="1"/>
        </c:title>
        <c:numFmt formatCode="\$#,##0;\(\$#,##0\);&quot;-&quot;"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31</xdr:row>
      <xdr:rowOff>0</xdr:rowOff>
    </xdr:from>
    <xdr:ext cx="6120000" cy="28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47</xdr:row>
      <xdr:rowOff>0</xdr:rowOff>
    </xdr:from>
    <xdr:ext cx="6120000" cy="288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https://www.wsj.com/personal-finance/retirement/retirement-planning-4-percent-rule-d5ba3a0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66"/>
  <sheetViews>
    <sheetView showGridLines="0" tabSelected="1" workbookViewId="0"/>
  </sheetViews>
  <sheetFormatPr defaultRowHeight="14.5" x14ac:dyDescent="0.35"/>
  <cols>
    <col min="1" max="1" width="3" customWidth="1"/>
    <col min="2" max="2" width="110" customWidth="1"/>
  </cols>
  <sheetData>
    <row r="2" spans="2:2" ht="26" customHeight="1" x14ac:dyDescent="0.35">
      <c r="B2" s="1" t="s">
        <v>0</v>
      </c>
    </row>
    <row r="3" spans="2:2" ht="49" customHeight="1" x14ac:dyDescent="0.35">
      <c r="B3" s="2" t="s">
        <v>1</v>
      </c>
    </row>
    <row r="5" spans="2:2" ht="22" customHeight="1" x14ac:dyDescent="0.35">
      <c r="B5" s="3" t="s">
        <v>2</v>
      </c>
    </row>
    <row r="6" spans="2:2" ht="34" customHeight="1" x14ac:dyDescent="0.35">
      <c r="B6" s="2" t="s">
        <v>3</v>
      </c>
    </row>
    <row r="7" spans="2:2" ht="19" customHeight="1" x14ac:dyDescent="0.35">
      <c r="B7" s="2" t="s">
        <v>4</v>
      </c>
    </row>
    <row r="8" spans="2:2" ht="19" customHeight="1" x14ac:dyDescent="0.35">
      <c r="B8" s="2" t="s">
        <v>5</v>
      </c>
    </row>
    <row r="9" spans="2:2" ht="19" customHeight="1" x14ac:dyDescent="0.35">
      <c r="B9" s="2" t="s">
        <v>6</v>
      </c>
    </row>
    <row r="10" spans="2:2" ht="19" customHeight="1" x14ac:dyDescent="0.35">
      <c r="B10" s="2" t="s">
        <v>7</v>
      </c>
    </row>
    <row r="11" spans="2:2" ht="34" customHeight="1" x14ac:dyDescent="0.35">
      <c r="B11" s="2" t="s">
        <v>8</v>
      </c>
    </row>
    <row r="13" spans="2:2" ht="22" customHeight="1" x14ac:dyDescent="0.35">
      <c r="B13" s="3" t="s">
        <v>9</v>
      </c>
    </row>
    <row r="14" spans="2:2" ht="19" customHeight="1" x14ac:dyDescent="0.35">
      <c r="B14" s="2" t="s">
        <v>10</v>
      </c>
    </row>
    <row r="15" spans="2:2" ht="19" customHeight="1" x14ac:dyDescent="0.35">
      <c r="B15" s="2" t="s">
        <v>11</v>
      </c>
    </row>
    <row r="16" spans="2:2" ht="19" customHeight="1" x14ac:dyDescent="0.35">
      <c r="B16" s="2" t="s">
        <v>12</v>
      </c>
    </row>
    <row r="17" spans="2:2" ht="19" customHeight="1" x14ac:dyDescent="0.35">
      <c r="B17" s="2" t="s">
        <v>13</v>
      </c>
    </row>
    <row r="19" spans="2:2" ht="22" customHeight="1" x14ac:dyDescent="0.35">
      <c r="B19" s="3" t="s">
        <v>14</v>
      </c>
    </row>
    <row r="20" spans="2:2" ht="34" customHeight="1" x14ac:dyDescent="0.35">
      <c r="B20" s="2" t="s">
        <v>15</v>
      </c>
    </row>
    <row r="21" spans="2:2" ht="19" customHeight="1" x14ac:dyDescent="0.35">
      <c r="B21" s="2" t="s">
        <v>16</v>
      </c>
    </row>
    <row r="22" spans="2:2" ht="19" customHeight="1" x14ac:dyDescent="0.35">
      <c r="B22" s="2" t="s">
        <v>17</v>
      </c>
    </row>
    <row r="23" spans="2:2" ht="19" customHeight="1" x14ac:dyDescent="0.35">
      <c r="B23" s="2" t="s">
        <v>18</v>
      </c>
    </row>
    <row r="24" spans="2:2" ht="19" customHeight="1" x14ac:dyDescent="0.35">
      <c r="B24" s="2" t="s">
        <v>19</v>
      </c>
    </row>
    <row r="26" spans="2:2" ht="22" customHeight="1" x14ac:dyDescent="0.35">
      <c r="B26" s="3" t="s">
        <v>20</v>
      </c>
    </row>
    <row r="27" spans="2:2" ht="49" customHeight="1" x14ac:dyDescent="0.35">
      <c r="B27" s="2" t="s">
        <v>21</v>
      </c>
    </row>
    <row r="29" spans="2:2" ht="22" customHeight="1" x14ac:dyDescent="0.35">
      <c r="B29" s="3" t="s">
        <v>22</v>
      </c>
    </row>
    <row r="30" spans="2:2" ht="19" customHeight="1" x14ac:dyDescent="0.35">
      <c r="B30" s="2" t="s">
        <v>23</v>
      </c>
    </row>
    <row r="31" spans="2:2" ht="19" customHeight="1" x14ac:dyDescent="0.35">
      <c r="B31" s="2" t="s">
        <v>24</v>
      </c>
    </row>
    <row r="32" spans="2:2" ht="34" customHeight="1" x14ac:dyDescent="0.35">
      <c r="B32" s="2" t="s">
        <v>25</v>
      </c>
    </row>
    <row r="33" spans="2:2" ht="34" customHeight="1" x14ac:dyDescent="0.35">
      <c r="B33" s="2" t="s">
        <v>26</v>
      </c>
    </row>
    <row r="34" spans="2:2" ht="49" customHeight="1" x14ac:dyDescent="0.35">
      <c r="B34" s="2" t="s">
        <v>27</v>
      </c>
    </row>
    <row r="36" spans="2:2" ht="22" customHeight="1" x14ac:dyDescent="0.35">
      <c r="B36" s="3" t="s">
        <v>28</v>
      </c>
    </row>
    <row r="37" spans="2:2" ht="79" customHeight="1" x14ac:dyDescent="0.35">
      <c r="B37" s="2" t="s">
        <v>29</v>
      </c>
    </row>
    <row r="39" spans="2:2" ht="22" customHeight="1" x14ac:dyDescent="0.35">
      <c r="B39" s="3" t="s">
        <v>30</v>
      </c>
    </row>
    <row r="40" spans="2:2" ht="79" customHeight="1" x14ac:dyDescent="0.35">
      <c r="B40" s="2" t="s">
        <v>31</v>
      </c>
    </row>
    <row r="41" spans="2:2" ht="34" customHeight="1" x14ac:dyDescent="0.35">
      <c r="B41" s="2" t="s">
        <v>32</v>
      </c>
    </row>
    <row r="43" spans="2:2" ht="22" customHeight="1" x14ac:dyDescent="0.35">
      <c r="B43" s="3" t="s">
        <v>33</v>
      </c>
    </row>
    <row r="44" spans="2:2" ht="79" customHeight="1" x14ac:dyDescent="0.35">
      <c r="B44" s="2" t="s">
        <v>34</v>
      </c>
    </row>
    <row r="45" spans="2:2" ht="49" customHeight="1" x14ac:dyDescent="0.35">
      <c r="B45" s="2" t="s">
        <v>35</v>
      </c>
    </row>
    <row r="47" spans="2:2" ht="22" customHeight="1" x14ac:dyDescent="0.35">
      <c r="B47" s="3" t="s">
        <v>36</v>
      </c>
    </row>
    <row r="48" spans="2:2" ht="49" customHeight="1" x14ac:dyDescent="0.35">
      <c r="B48" s="2" t="s">
        <v>37</v>
      </c>
    </row>
    <row r="50" spans="2:2" ht="22" customHeight="1" x14ac:dyDescent="0.35">
      <c r="B50" s="3" t="s">
        <v>38</v>
      </c>
    </row>
    <row r="51" spans="2:2" ht="34" customHeight="1" x14ac:dyDescent="0.35">
      <c r="B51" s="2" t="s">
        <v>39</v>
      </c>
    </row>
    <row r="52" spans="2:2" ht="19" customHeight="1" x14ac:dyDescent="0.35">
      <c r="B52" s="2" t="s">
        <v>40</v>
      </c>
    </row>
    <row r="53" spans="2:2" ht="19" customHeight="1" x14ac:dyDescent="0.35">
      <c r="B53" s="2" t="s">
        <v>41</v>
      </c>
    </row>
    <row r="54" spans="2:2" ht="19" customHeight="1" x14ac:dyDescent="0.35">
      <c r="B54" s="2" t="s">
        <v>42</v>
      </c>
    </row>
    <row r="55" spans="2:2" ht="19" customHeight="1" x14ac:dyDescent="0.35">
      <c r="B55" s="2" t="s">
        <v>43</v>
      </c>
    </row>
    <row r="56" spans="2:2" ht="19" customHeight="1" x14ac:dyDescent="0.35">
      <c r="B56" s="2" t="s">
        <v>44</v>
      </c>
    </row>
    <row r="58" spans="2:2" ht="22" customHeight="1" x14ac:dyDescent="0.35">
      <c r="B58" s="3" t="s">
        <v>45</v>
      </c>
    </row>
    <row r="59" spans="2:2" ht="19" customHeight="1" x14ac:dyDescent="0.35">
      <c r="B59" s="2" t="s">
        <v>46</v>
      </c>
    </row>
    <row r="60" spans="2:2" ht="19" customHeight="1" x14ac:dyDescent="0.35">
      <c r="B60" s="2" t="s">
        <v>47</v>
      </c>
    </row>
    <row r="61" spans="2:2" ht="19" customHeight="1" x14ac:dyDescent="0.35">
      <c r="B61" s="2" t="s">
        <v>48</v>
      </c>
    </row>
    <row r="62" spans="2:2" ht="19" customHeight="1" x14ac:dyDescent="0.35">
      <c r="B62" s="2" t="s">
        <v>49</v>
      </c>
    </row>
    <row r="63" spans="2:2" ht="19" customHeight="1" x14ac:dyDescent="0.35">
      <c r="B63" s="2" t="s">
        <v>50</v>
      </c>
    </row>
    <row r="65" spans="2:2" ht="22" customHeight="1" x14ac:dyDescent="0.35">
      <c r="B65" s="3" t="s">
        <v>51</v>
      </c>
    </row>
    <row r="66" spans="2:2" ht="49" customHeight="1" x14ac:dyDescent="0.35">
      <c r="B66" s="2" t="s">
        <v>52</v>
      </c>
    </row>
  </sheetData>
  <sheetProtection sheet="1" formatCells="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64"/>
  <sheetViews>
    <sheetView showGridLines="0" workbookViewId="0"/>
  </sheetViews>
  <sheetFormatPr defaultRowHeight="14.5" x14ac:dyDescent="0.35"/>
  <cols>
    <col min="1" max="1" width="2" customWidth="1"/>
    <col min="2" max="2" width="48" customWidth="1"/>
    <col min="3" max="3" width="16" customWidth="1"/>
    <col min="4" max="4" width="3" customWidth="1"/>
    <col min="5" max="5" width="50" customWidth="1"/>
    <col min="6" max="6" width="16" customWidth="1"/>
    <col min="8" max="8" width="8" customWidth="1"/>
    <col min="9" max="10" width="13" customWidth="1"/>
  </cols>
  <sheetData>
    <row r="2" spans="2:10" ht="20" x14ac:dyDescent="0.4">
      <c r="B2" s="4" t="s">
        <v>53</v>
      </c>
    </row>
    <row r="3" spans="2:10" x14ac:dyDescent="0.35">
      <c r="B3" s="52" t="s">
        <v>54</v>
      </c>
      <c r="C3" s="48"/>
      <c r="D3" s="48"/>
      <c r="E3" s="48"/>
      <c r="F3" s="48"/>
    </row>
    <row r="4" spans="2:10" ht="46" customHeight="1" x14ac:dyDescent="0.35">
      <c r="B4" s="49" t="str">
        <f>"At a starting portfolio of "&amp;TEXT($C$9,"$#,##0")&amp;":     4% rule "&amp;IF($F$11="YES","lasts to age "&amp;$C$8,"runs out before age "&amp;$C$8)&amp;" (about "&amp;TEXT($F$10,"$#,##0")&amp;" left).     Dynamic strategy "&amp;IF($F$18="YES","lasts to age "&amp;$C$8,"runs out before age "&amp;$C$8)&amp;", with annual withdrawals of "&amp;TEXT($F$14,"$#,##0")&amp;" to "&amp;TEXT($F$15,"$#,##0")&amp;"."</f>
        <v>At a starting portfolio of $3,500,000:     4% rule lasts to age 90 (about $847,494 left).     Dynamic strategy lasts to age 90, with annual withdrawals of $110,063 to $285,584.</v>
      </c>
      <c r="C4" s="48"/>
      <c r="D4" s="48"/>
      <c r="E4" s="48"/>
      <c r="F4" s="48"/>
    </row>
    <row r="5" spans="2:10" x14ac:dyDescent="0.35">
      <c r="H5" s="50" t="s">
        <v>55</v>
      </c>
      <c r="I5" s="51"/>
      <c r="J5" s="51"/>
    </row>
    <row r="6" spans="2:10" x14ac:dyDescent="0.35">
      <c r="B6" s="6" t="s">
        <v>56</v>
      </c>
      <c r="C6" s="7"/>
      <c r="E6" s="6" t="s">
        <v>57</v>
      </c>
      <c r="F6" s="7"/>
      <c r="H6" s="8" t="s">
        <v>58</v>
      </c>
      <c r="I6" s="8" t="s">
        <v>59</v>
      </c>
      <c r="J6" s="8" t="s">
        <v>60</v>
      </c>
    </row>
    <row r="7" spans="2:10" x14ac:dyDescent="0.35">
      <c r="B7" s="9" t="s">
        <v>61</v>
      </c>
      <c r="C7" s="10">
        <v>50</v>
      </c>
      <c r="E7" s="9" t="s">
        <v>62</v>
      </c>
      <c r="F7" s="11">
        <f>$C$8-$C$7</f>
        <v>40</v>
      </c>
      <c r="H7" s="12">
        <v>1</v>
      </c>
      <c r="I7" s="13">
        <v>-0.2</v>
      </c>
      <c r="J7" s="13">
        <v>0.01</v>
      </c>
    </row>
    <row r="8" spans="2:10" x14ac:dyDescent="0.35">
      <c r="B8" s="9" t="s">
        <v>63</v>
      </c>
      <c r="C8" s="10">
        <v>90</v>
      </c>
      <c r="E8" s="14" t="s">
        <v>64</v>
      </c>
      <c r="H8" s="12">
        <v>2</v>
      </c>
      <c r="I8" s="13">
        <v>-0.1</v>
      </c>
      <c r="J8" s="13">
        <v>0.01</v>
      </c>
    </row>
    <row r="9" spans="2:10" x14ac:dyDescent="0.35">
      <c r="B9" s="9" t="s">
        <v>65</v>
      </c>
      <c r="C9" s="15">
        <v>3500000</v>
      </c>
      <c r="E9" s="9" t="s">
        <v>66</v>
      </c>
      <c r="F9" s="16">
        <f>'4% Rule'!$E$5</f>
        <v>140000</v>
      </c>
      <c r="H9" s="12">
        <v>3</v>
      </c>
      <c r="I9" s="13">
        <v>0.15</v>
      </c>
      <c r="J9" s="13">
        <v>0.01</v>
      </c>
    </row>
    <row r="10" spans="2:10" x14ac:dyDescent="0.35">
      <c r="B10" s="9" t="s">
        <v>67</v>
      </c>
      <c r="C10" s="17">
        <v>0.06</v>
      </c>
      <c r="E10" s="9" t="s">
        <v>68</v>
      </c>
      <c r="F10" s="16">
        <f>INDEX('4% Rule'!$H$5:$H$50,MIN(MAX($C$8-$C$7+1,1),46))</f>
        <v>847494.4201034134</v>
      </c>
      <c r="H10" s="12">
        <v>4</v>
      </c>
      <c r="I10" s="13">
        <v>0.15</v>
      </c>
      <c r="J10" s="13">
        <v>0.01</v>
      </c>
    </row>
    <row r="11" spans="2:10" x14ac:dyDescent="0.35">
      <c r="B11" s="9" t="s">
        <v>69</v>
      </c>
      <c r="C11" s="17">
        <v>0.03</v>
      </c>
      <c r="E11" s="9" t="s">
        <v>70</v>
      </c>
      <c r="F11" s="18" t="str">
        <f>IF(INDEX('4% Rule'!$H$5:$H$50,MIN(MAX($C$8-$C$7+1,1),46))&gt;0,"YES","NO")</f>
        <v>YES</v>
      </c>
      <c r="H11" s="12">
        <v>5</v>
      </c>
      <c r="I11" s="13">
        <v>0.12</v>
      </c>
      <c r="J11" s="13">
        <v>0.01</v>
      </c>
    </row>
    <row r="12" spans="2:10" x14ac:dyDescent="0.35">
      <c r="B12" s="9" t="s">
        <v>71</v>
      </c>
      <c r="C12" s="17">
        <v>0.04</v>
      </c>
      <c r="E12" s="14" t="s">
        <v>72</v>
      </c>
      <c r="H12" s="12">
        <v>6</v>
      </c>
      <c r="I12" s="19">
        <f>$C$10</f>
        <v>0.06</v>
      </c>
      <c r="J12" s="13">
        <v>0.01</v>
      </c>
    </row>
    <row r="13" spans="2:10" x14ac:dyDescent="0.35">
      <c r="B13" s="9" t="s">
        <v>73</v>
      </c>
      <c r="C13" s="17">
        <v>0.03</v>
      </c>
      <c r="E13" s="9" t="s">
        <v>66</v>
      </c>
      <c r="F13" s="16">
        <f>'Dynamic Strategy'!$H$5</f>
        <v>110062.89308176101</v>
      </c>
      <c r="H13" s="12">
        <v>7</v>
      </c>
      <c r="I13" s="19">
        <f>$C$10</f>
        <v>0.06</v>
      </c>
      <c r="J13" s="13">
        <v>0.01</v>
      </c>
    </row>
    <row r="14" spans="2:10" x14ac:dyDescent="0.35">
      <c r="B14" s="9" t="s">
        <v>74</v>
      </c>
      <c r="C14" s="17">
        <v>0.06</v>
      </c>
      <c r="E14" s="9" t="s">
        <v>75</v>
      </c>
      <c r="F14" s="16">
        <f>MIN('Dynamic Strategy'!$H$5:$H$50)</f>
        <v>110062.89308176101</v>
      </c>
      <c r="H14" s="12">
        <v>8</v>
      </c>
      <c r="I14" s="19">
        <f>$C$10</f>
        <v>0.06</v>
      </c>
      <c r="J14" s="13">
        <v>0.01</v>
      </c>
    </row>
    <row r="15" spans="2:10" x14ac:dyDescent="0.35">
      <c r="B15" s="9" t="s">
        <v>76</v>
      </c>
      <c r="C15" s="17">
        <v>0.05</v>
      </c>
      <c r="E15" s="9" t="s">
        <v>77</v>
      </c>
      <c r="F15" s="16">
        <f>MAX('Dynamic Strategy'!$H$5:$H$50)</f>
        <v>285583.57770395617</v>
      </c>
      <c r="H15" s="12">
        <v>9</v>
      </c>
      <c r="I15" s="19">
        <f>$C$10</f>
        <v>0.06</v>
      </c>
      <c r="J15" s="19">
        <f>$C$10</f>
        <v>0.06</v>
      </c>
    </row>
    <row r="16" spans="2:10" x14ac:dyDescent="0.35">
      <c r="B16" s="9" t="s">
        <v>78</v>
      </c>
      <c r="C16" s="15">
        <v>100000</v>
      </c>
      <c r="E16" s="9" t="s">
        <v>68</v>
      </c>
      <c r="F16" s="16">
        <f>INDEX('Dynamic Strategy'!$L$5:$L$50,MIN(MAX($C$8-$C$7+1,1),46))</f>
        <v>4421942.8458169494</v>
      </c>
      <c r="H16" s="12">
        <v>10</v>
      </c>
      <c r="I16" s="19">
        <f>$C$10</f>
        <v>0.06</v>
      </c>
      <c r="J16" s="19">
        <f>$C$10</f>
        <v>0.06</v>
      </c>
    </row>
    <row r="17" spans="2:10" x14ac:dyDescent="0.35">
      <c r="B17" s="9" t="s">
        <v>79</v>
      </c>
      <c r="C17" s="15">
        <v>30000</v>
      </c>
      <c r="E17" s="9" t="s">
        <v>80</v>
      </c>
      <c r="F17" s="16">
        <f>INDEX('Dynamic Strategy'!$M$5:$M$50,MIN(MAX($C$8-$C$7+1,1),46))</f>
        <v>1355576.828895981</v>
      </c>
      <c r="H17" s="47" t="s">
        <v>81</v>
      </c>
      <c r="I17" s="48"/>
      <c r="J17" s="48"/>
    </row>
    <row r="18" spans="2:10" x14ac:dyDescent="0.35">
      <c r="B18" s="9" t="s">
        <v>82</v>
      </c>
      <c r="C18" s="10">
        <v>67</v>
      </c>
      <c r="E18" s="9" t="s">
        <v>70</v>
      </c>
      <c r="F18" s="18" t="str">
        <f>IF(INDEX('Dynamic Strategy'!$L$5:$L$50,MIN(MAX($C$8-$C$7+1,1),46))&gt;0,"YES","NO")</f>
        <v>YES</v>
      </c>
    </row>
    <row r="19" spans="2:10" x14ac:dyDescent="0.35">
      <c r="B19" s="9" t="s">
        <v>83</v>
      </c>
      <c r="C19" s="15">
        <v>0</v>
      </c>
      <c r="E19" s="9" t="s">
        <v>84</v>
      </c>
      <c r="F19" s="11">
        <f>SUMPRODUCT(('Dynamic Strategy'!$B$5:$B$50&lt;=$C$8)*('Dynamic Strategy'!$P$5:$P$50&lt;$C$16))</f>
        <v>0</v>
      </c>
      <c r="H19" s="50" t="s">
        <v>85</v>
      </c>
      <c r="I19" s="51"/>
    </row>
    <row r="20" spans="2:10" ht="28" x14ac:dyDescent="0.35">
      <c r="E20" s="14" t="s">
        <v>86</v>
      </c>
      <c r="H20" s="8" t="s">
        <v>87</v>
      </c>
      <c r="I20" s="8" t="s">
        <v>88</v>
      </c>
    </row>
    <row r="21" spans="2:10" x14ac:dyDescent="0.35">
      <c r="B21" s="6" t="s">
        <v>89</v>
      </c>
      <c r="C21" s="7"/>
      <c r="E21" s="9" t="s">
        <v>90</v>
      </c>
      <c r="F21" s="21">
        <f>MAX($C$16-($C$17*VLOOKUP($C$18,$H$21:$I$29,2,FALSE)),0)</f>
        <v>70000</v>
      </c>
      <c r="H21" s="12">
        <v>62</v>
      </c>
      <c r="I21" s="22">
        <v>0.7</v>
      </c>
    </row>
    <row r="22" spans="2:10" x14ac:dyDescent="0.35">
      <c r="B22" s="9" t="s">
        <v>91</v>
      </c>
      <c r="C22" s="23" t="s">
        <v>92</v>
      </c>
      <c r="H22" s="12">
        <v>63</v>
      </c>
      <c r="I22" s="22">
        <v>0.75</v>
      </c>
    </row>
    <row r="23" spans="2:10" x14ac:dyDescent="0.35">
      <c r="H23" s="12">
        <v>64</v>
      </c>
      <c r="I23" s="22">
        <v>0.8</v>
      </c>
    </row>
    <row r="24" spans="2:10" x14ac:dyDescent="0.35">
      <c r="B24" s="6" t="s">
        <v>93</v>
      </c>
      <c r="C24" s="7"/>
      <c r="H24" s="12">
        <v>65</v>
      </c>
      <c r="I24" s="22">
        <v>0.86699999999999999</v>
      </c>
    </row>
    <row r="25" spans="2:10" x14ac:dyDescent="0.35">
      <c r="B25" s="9" t="s">
        <v>94</v>
      </c>
      <c r="C25" s="10">
        <v>49</v>
      </c>
      <c r="H25" s="12">
        <v>66</v>
      </c>
      <c r="I25" s="22">
        <v>0.93300000000000005</v>
      </c>
    </row>
    <row r="26" spans="2:10" x14ac:dyDescent="0.35">
      <c r="B26" s="9" t="s">
        <v>95</v>
      </c>
      <c r="C26" s="24">
        <v>32.6</v>
      </c>
      <c r="H26" s="12">
        <v>67</v>
      </c>
      <c r="I26" s="22">
        <v>1</v>
      </c>
    </row>
    <row r="27" spans="2:10" x14ac:dyDescent="0.35">
      <c r="B27" s="9" t="s">
        <v>96</v>
      </c>
      <c r="C27" s="24">
        <v>22.4</v>
      </c>
      <c r="H27" s="12">
        <v>68</v>
      </c>
      <c r="I27" s="22">
        <v>1.08</v>
      </c>
    </row>
    <row r="28" spans="2:10" x14ac:dyDescent="0.35">
      <c r="B28" s="9" t="s">
        <v>97</v>
      </c>
      <c r="C28" s="24">
        <v>18.8</v>
      </c>
      <c r="H28" s="12">
        <v>69</v>
      </c>
      <c r="I28" s="22">
        <v>1.1599999999999999</v>
      </c>
    </row>
    <row r="29" spans="2:10" x14ac:dyDescent="0.35">
      <c r="B29" s="9" t="s">
        <v>98</v>
      </c>
      <c r="C29" s="24">
        <v>16.7</v>
      </c>
      <c r="H29" s="12">
        <v>70</v>
      </c>
      <c r="I29" s="22">
        <v>1.24</v>
      </c>
    </row>
    <row r="30" spans="2:10" x14ac:dyDescent="0.35">
      <c r="H30" s="47" t="s">
        <v>99</v>
      </c>
      <c r="I30" s="48"/>
      <c r="J30" s="48"/>
    </row>
    <row r="31" spans="2:10" ht="15.5" x14ac:dyDescent="0.35">
      <c r="B31" s="25" t="s">
        <v>100</v>
      </c>
    </row>
    <row r="64" spans="2:10" x14ac:dyDescent="0.35">
      <c r="B64" s="47" t="s">
        <v>101</v>
      </c>
      <c r="C64" s="48"/>
      <c r="D64" s="48"/>
      <c r="E64" s="48"/>
      <c r="F64" s="48"/>
      <c r="G64" s="48"/>
      <c r="H64" s="48"/>
      <c r="I64" s="48"/>
      <c r="J64" s="48"/>
    </row>
  </sheetData>
  <sheetProtection sheet="1" formatCells="0"/>
  <mergeCells count="7">
    <mergeCell ref="B64:J64"/>
    <mergeCell ref="B4:F4"/>
    <mergeCell ref="H5:J5"/>
    <mergeCell ref="B3:F3"/>
    <mergeCell ref="H30:J30"/>
    <mergeCell ref="H19:I19"/>
    <mergeCell ref="H17:J17"/>
  </mergeCells>
  <conditionalFormatting sqref="F11">
    <cfRule type="cellIs" dxfId="8" priority="3" operator="equal">
      <formula>"YES"</formula>
    </cfRule>
    <cfRule type="cellIs" dxfId="7" priority="4" operator="equal">
      <formula>"NO"</formula>
    </cfRule>
  </conditionalFormatting>
  <conditionalFormatting sqref="F18">
    <cfRule type="cellIs" dxfId="6" priority="5" operator="equal">
      <formula>"YES"</formula>
    </cfRule>
    <cfRule type="cellIs" dxfId="5" priority="5" operator="equal">
      <formula>"NO"</formula>
    </cfRule>
  </conditionalFormatting>
  <conditionalFormatting sqref="F19">
    <cfRule type="cellIs" dxfId="4" priority="1" operator="equal">
      <formula>0</formula>
    </cfRule>
    <cfRule type="cellIs" dxfId="3" priority="2" operator="greaterThanOrEqual">
      <formula>1</formula>
    </cfRule>
  </conditionalFormatting>
  <dataValidations count="7">
    <dataValidation type="whole" error="Enter a whole age between 40 and 110." sqref="C7 C8 C25" xr:uid="{00000000-0002-0000-0100-000000000000}">
      <formula1>40</formula1>
      <formula2>110</formula2>
    </dataValidation>
    <dataValidation type="decimal" error="Enter a rate between 0% and 25%." sqref="C10 C11 C12 C13 C14 C15" xr:uid="{00000000-0002-0000-0100-000001000000}">
      <formula1>0</formula1>
      <formula2>0.25</formula2>
    </dataValidation>
    <dataValidation type="decimal" operator="greaterThanOrEqual" error="Enter a non-negative dollar amount." sqref="C9 C16 C17 C19" xr:uid="{00000000-0002-0000-0100-000002000000}">
      <formula1>0</formula1>
    </dataValidation>
    <dataValidation type="whole" error="Social Security start age must be a whole number between 62 and 70." sqref="C18" xr:uid="{00000000-0002-0000-0100-000003000000}">
      <formula1>62</formula1>
      <formula2>70</formula2>
    </dataValidation>
    <dataValidation type="list" error="Choose Steady, Early crash, or Stagflation." sqref="C22" xr:uid="{00000000-0002-0000-0100-000004000000}">
      <formula1>"Steady,Early crash,Stagflation"</formula1>
    </dataValidation>
    <dataValidation type="decimal" error="Enter remaining years between 0 and 60." sqref="C26 C27 C28 C29" xr:uid="{00000000-0002-0000-0100-000005000000}">
      <formula1>0</formula1>
      <formula2>60</formula2>
    </dataValidation>
    <dataValidation type="decimal" error="Enter an annual return between -60% and 60%." sqref="I7 I8 I9 I10 I11 J7 J8 J9 J10 J11 J12 J13 J14" xr:uid="{00000000-0002-0000-0100-000006000000}">
      <formula1>-0.6</formula1>
      <formula2>0.6</formula2>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0"/>
  <sheetViews>
    <sheetView showGridLines="0" workbookViewId="0"/>
  </sheetViews>
  <sheetFormatPr defaultRowHeight="14.5" x14ac:dyDescent="0.35"/>
  <cols>
    <col min="1" max="2" width="7" customWidth="1"/>
    <col min="3" max="4" width="12" customWidth="1"/>
    <col min="5" max="5" width="16" customWidth="1"/>
    <col min="6" max="6" width="15" customWidth="1"/>
    <col min="7" max="8" width="14" customWidth="1"/>
    <col min="9" max="9" width="17" customWidth="1"/>
    <col min="10" max="10" width="10" customWidth="1"/>
    <col min="11" max="11" width="14" customWidth="1"/>
    <col min="12" max="12" width="16" customWidth="1"/>
    <col min="13" max="13" width="18" customWidth="1"/>
    <col min="14" max="15" width="14" customWidth="1"/>
    <col min="16" max="16" width="18" customWidth="1"/>
  </cols>
  <sheetData>
    <row r="1" spans="1:16" ht="18" x14ac:dyDescent="0.4">
      <c r="A1" s="26" t="s">
        <v>102</v>
      </c>
    </row>
    <row r="2" spans="1:16" x14ac:dyDescent="0.35">
      <c r="A2" s="5" t="s">
        <v>103</v>
      </c>
    </row>
    <row r="4" spans="1:16" ht="28" x14ac:dyDescent="0.35">
      <c r="A4" s="8" t="s">
        <v>58</v>
      </c>
      <c r="B4" s="8" t="s">
        <v>104</v>
      </c>
      <c r="C4" s="8" t="s">
        <v>105</v>
      </c>
      <c r="D4" s="8" t="s">
        <v>106</v>
      </c>
      <c r="E4" s="8" t="s">
        <v>107</v>
      </c>
      <c r="F4" s="8" t="s">
        <v>108</v>
      </c>
      <c r="G4" s="8" t="s">
        <v>109</v>
      </c>
      <c r="H4" s="8" t="s">
        <v>110</v>
      </c>
      <c r="I4" s="8" t="s">
        <v>111</v>
      </c>
      <c r="J4" s="8" t="s">
        <v>112</v>
      </c>
      <c r="K4" s="8" t="s">
        <v>113</v>
      </c>
      <c r="L4" s="8" t="s">
        <v>114</v>
      </c>
      <c r="M4" s="8" t="s">
        <v>115</v>
      </c>
      <c r="N4" s="8" t="s">
        <v>30</v>
      </c>
      <c r="O4" s="8" t="s">
        <v>116</v>
      </c>
      <c r="P4" s="8" t="s">
        <v>117</v>
      </c>
    </row>
    <row r="5" spans="1:16" x14ac:dyDescent="0.35">
      <c r="A5" s="9">
        <v>1</v>
      </c>
      <c r="B5" s="9">
        <f>'Inputs &amp; Summary'!$C$7+1-1</f>
        <v>50</v>
      </c>
      <c r="C5" s="9">
        <f>IFERROR(VLOOKUP(B5,'Life Expectancy'!$A$6:$B$81,2,FALSE),1.5)</f>
        <v>31.8</v>
      </c>
      <c r="D5" s="27">
        <f>'4% Rule'!C5</f>
        <v>0.06</v>
      </c>
      <c r="E5" s="28">
        <f>'Inputs &amp; Summary'!$C$9</f>
        <v>3500000</v>
      </c>
      <c r="F5" s="28">
        <f t="shared" ref="F5:F50" si="0">E5/MAX(C5,1)</f>
        <v>110062.89308176101</v>
      </c>
      <c r="G5" s="28">
        <f>MIN('Inputs &amp; Summary'!$C$14*E5,MAX('Inputs &amp; Summary'!$C$13*E5,F5))</f>
        <v>110062.89308176101</v>
      </c>
      <c r="H5" s="29">
        <f>MIN(G5,E5)</f>
        <v>110062.89308176101</v>
      </c>
      <c r="I5" s="30">
        <f>H5/(1+'Inputs &amp; Summary'!$C$11)^(1-1)</f>
        <v>110062.89308176101</v>
      </c>
      <c r="J5" s="31">
        <f t="shared" ref="J5:J50" si="1">IFERROR(H5/E5,0)</f>
        <v>3.1446540880503145E-2</v>
      </c>
      <c r="K5" s="28">
        <f t="shared" ref="K5:K50" si="2">(E5-H5)*D5</f>
        <v>203396.22641509434</v>
      </c>
      <c r="L5" s="28">
        <f t="shared" ref="L5:L50" si="3">E5-H5+K5</f>
        <v>3593333.3333333335</v>
      </c>
      <c r="M5" s="30">
        <f>L5/(1+'Inputs &amp; Summary'!$C$11)^(1-1)</f>
        <v>3593333.3333333335</v>
      </c>
      <c r="N5" s="32">
        <f>IF(B5&gt;='Inputs &amp; Summary'!$C$18,'Inputs &amp; Summary'!$C$17*VLOOKUP('Inputs &amp; Summary'!$C$18,'Inputs &amp; Summary'!$H$21:$I$29,2,FALSE)*(1+'Inputs &amp; Summary'!$C$11)^(1-1),0)</f>
        <v>0</v>
      </c>
      <c r="O5" s="28">
        <f t="shared" ref="O5:O50" si="4">H5+N5</f>
        <v>110062.89308176101</v>
      </c>
      <c r="P5" s="30">
        <f>O5/(1+'Inputs &amp; Summary'!$C$11)^(1-1)</f>
        <v>110062.89308176101</v>
      </c>
    </row>
    <row r="6" spans="1:16" x14ac:dyDescent="0.35">
      <c r="A6" s="33">
        <v>2</v>
      </c>
      <c r="B6" s="33">
        <f>'Inputs &amp; Summary'!$C$7+2-1</f>
        <v>51</v>
      </c>
      <c r="C6" s="33">
        <f>IFERROR(VLOOKUP(B6,'Life Expectancy'!$A$6:$B$81,2,FALSE),1.5)</f>
        <v>31</v>
      </c>
      <c r="D6" s="34">
        <f>'4% Rule'!C6</f>
        <v>0.06</v>
      </c>
      <c r="E6" s="35">
        <f t="shared" ref="E6:E50" si="5">MAX(L5,0)</f>
        <v>3593333.3333333335</v>
      </c>
      <c r="F6" s="35">
        <f t="shared" si="0"/>
        <v>115913.97849462366</v>
      </c>
      <c r="G6" s="35">
        <f>MIN('Inputs &amp; Summary'!$C$14*E6,MAX('Inputs &amp; Summary'!$C$13*E6,F6))</f>
        <v>115913.97849462366</v>
      </c>
      <c r="H6" s="36">
        <f>MIN(MIN(H5*(1+'Inputs &amp; Summary'!$C$15),MAX(H5*(1-'Inputs &amp; Summary'!$C$15),G6)),E6)</f>
        <v>115566.03773584907</v>
      </c>
      <c r="I6" s="37">
        <f>H6/(1+'Inputs &amp; Summary'!$C$11)^(2-1)</f>
        <v>112200.03663674666</v>
      </c>
      <c r="J6" s="38">
        <f t="shared" si="1"/>
        <v>3.2161234991423669E-2</v>
      </c>
      <c r="K6" s="35">
        <f t="shared" si="2"/>
        <v>208666.03773584907</v>
      </c>
      <c r="L6" s="35">
        <f t="shared" si="3"/>
        <v>3686433.3333333335</v>
      </c>
      <c r="M6" s="37">
        <f>L6/(1+'Inputs &amp; Summary'!$C$11)^(2-1)</f>
        <v>3579061.4886731394</v>
      </c>
      <c r="N6" s="39">
        <f>IF(B6&gt;='Inputs &amp; Summary'!$C$18,'Inputs &amp; Summary'!$C$17*VLOOKUP('Inputs &amp; Summary'!$C$18,'Inputs &amp; Summary'!$H$21:$I$29,2,FALSE)*(1+'Inputs &amp; Summary'!$C$11)^(2-1),0)</f>
        <v>0</v>
      </c>
      <c r="O6" s="35">
        <f t="shared" si="4"/>
        <v>115566.03773584907</v>
      </c>
      <c r="P6" s="37">
        <f>O6/(1+'Inputs &amp; Summary'!$C$11)^(2-1)</f>
        <v>112200.03663674666</v>
      </c>
    </row>
    <row r="7" spans="1:16" x14ac:dyDescent="0.35">
      <c r="A7" s="9">
        <v>3</v>
      </c>
      <c r="B7" s="9">
        <f>'Inputs &amp; Summary'!$C$7+3-1</f>
        <v>52</v>
      </c>
      <c r="C7" s="9">
        <f>IFERROR(VLOOKUP(B7,'Life Expectancy'!$A$6:$B$81,2,FALSE),1.5)</f>
        <v>30.2</v>
      </c>
      <c r="D7" s="27">
        <f>'4% Rule'!C7</f>
        <v>0.06</v>
      </c>
      <c r="E7" s="28">
        <f t="shared" si="5"/>
        <v>3686433.3333333335</v>
      </c>
      <c r="F7" s="28">
        <f t="shared" si="0"/>
        <v>122067.32891832231</v>
      </c>
      <c r="G7" s="28">
        <f>MIN('Inputs &amp; Summary'!$C$14*E7,MAX('Inputs &amp; Summary'!$C$13*E7,F7))</f>
        <v>122067.32891832231</v>
      </c>
      <c r="H7" s="29">
        <f>MIN(MIN(H6*(1+'Inputs &amp; Summary'!$C$15),MAX(H6*(1-'Inputs &amp; Summary'!$C$15),G7)),E7)</f>
        <v>121344.33962264152</v>
      </c>
      <c r="I7" s="30">
        <f>H7/(1+'Inputs &amp; Summary'!$C$11)^(3-1)</f>
        <v>114378.67812483884</v>
      </c>
      <c r="J7" s="31">
        <f t="shared" si="1"/>
        <v>3.2916461156485902E-2</v>
      </c>
      <c r="K7" s="28">
        <f t="shared" si="2"/>
        <v>213905.33962264151</v>
      </c>
      <c r="L7" s="28">
        <f t="shared" si="3"/>
        <v>3778994.3333333335</v>
      </c>
      <c r="M7" s="30">
        <f>L7/(1+'Inputs &amp; Summary'!$C$11)^(3-1)</f>
        <v>3562064.5992396395</v>
      </c>
      <c r="N7" s="32">
        <f>IF(B7&gt;='Inputs &amp; Summary'!$C$18,'Inputs &amp; Summary'!$C$17*VLOOKUP('Inputs &amp; Summary'!$C$18,'Inputs &amp; Summary'!$H$21:$I$29,2,FALSE)*(1+'Inputs &amp; Summary'!$C$11)^(3-1),0)</f>
        <v>0</v>
      </c>
      <c r="O7" s="28">
        <f t="shared" si="4"/>
        <v>121344.33962264152</v>
      </c>
      <c r="P7" s="30">
        <f>O7/(1+'Inputs &amp; Summary'!$C$11)^(3-1)</f>
        <v>114378.67812483884</v>
      </c>
    </row>
    <row r="8" spans="1:16" x14ac:dyDescent="0.35">
      <c r="A8" s="33">
        <v>4</v>
      </c>
      <c r="B8" s="33">
        <f>'Inputs &amp; Summary'!$C$7+4-1</f>
        <v>53</v>
      </c>
      <c r="C8" s="33">
        <f>IFERROR(VLOOKUP(B8,'Life Expectancy'!$A$6:$B$81,2,FALSE),1.5)</f>
        <v>29.5</v>
      </c>
      <c r="D8" s="34">
        <f>'4% Rule'!C8</f>
        <v>0.06</v>
      </c>
      <c r="E8" s="35">
        <f t="shared" si="5"/>
        <v>3778994.3333333335</v>
      </c>
      <c r="F8" s="35">
        <f t="shared" si="0"/>
        <v>128101.50282485876</v>
      </c>
      <c r="G8" s="35">
        <f>MIN('Inputs &amp; Summary'!$C$14*E8,MAX('Inputs &amp; Summary'!$C$13*E8,F8))</f>
        <v>128101.50282485876</v>
      </c>
      <c r="H8" s="36">
        <f>MIN(MIN(H7*(1+'Inputs &amp; Summary'!$C$15),MAX(H7*(1-'Inputs &amp; Summary'!$C$15),G8)),E8)</f>
        <v>127411.5566037736</v>
      </c>
      <c r="I8" s="37">
        <f>H8/(1+'Inputs &amp; Summary'!$C$11)^(4-1)</f>
        <v>116599.62333114639</v>
      </c>
      <c r="J8" s="38">
        <f t="shared" si="1"/>
        <v>3.3715731055724507E-2</v>
      </c>
      <c r="K8" s="35">
        <f t="shared" si="2"/>
        <v>219094.96660377359</v>
      </c>
      <c r="L8" s="35">
        <f t="shared" si="3"/>
        <v>3870677.7433333336</v>
      </c>
      <c r="M8" s="37">
        <f>L8/(1+'Inputs &amp; Summary'!$C$11)^(4-1)</f>
        <v>3542218.4528554101</v>
      </c>
      <c r="N8" s="39">
        <f>IF(B8&gt;='Inputs &amp; Summary'!$C$18,'Inputs &amp; Summary'!$C$17*VLOOKUP('Inputs &amp; Summary'!$C$18,'Inputs &amp; Summary'!$H$21:$I$29,2,FALSE)*(1+'Inputs &amp; Summary'!$C$11)^(4-1),0)</f>
        <v>0</v>
      </c>
      <c r="O8" s="35">
        <f t="shared" si="4"/>
        <v>127411.5566037736</v>
      </c>
      <c r="P8" s="37">
        <f>O8/(1+'Inputs &amp; Summary'!$C$11)^(4-1)</f>
        <v>116599.62333114639</v>
      </c>
    </row>
    <row r="9" spans="1:16" x14ac:dyDescent="0.35">
      <c r="A9" s="9">
        <v>5</v>
      </c>
      <c r="B9" s="9">
        <f>'Inputs &amp; Summary'!$C$7+5-1</f>
        <v>54</v>
      </c>
      <c r="C9" s="9">
        <f>IFERROR(VLOOKUP(B9,'Life Expectancy'!$A$6:$B$81,2,FALSE),1.5)</f>
        <v>28.7</v>
      </c>
      <c r="D9" s="27">
        <f>'4% Rule'!C9</f>
        <v>0.06</v>
      </c>
      <c r="E9" s="28">
        <f t="shared" si="5"/>
        <v>3870677.7433333336</v>
      </c>
      <c r="F9" s="28">
        <f t="shared" si="0"/>
        <v>134866.82032520327</v>
      </c>
      <c r="G9" s="28">
        <f>MIN('Inputs &amp; Summary'!$C$14*E9,MAX('Inputs &amp; Summary'!$C$13*E9,F9))</f>
        <v>134866.82032520327</v>
      </c>
      <c r="H9" s="29">
        <f>MIN(MIN(H8*(1+'Inputs &amp; Summary'!$C$15),MAX(H8*(1-'Inputs &amp; Summary'!$C$15),G9)),E9)</f>
        <v>133782.13443396229</v>
      </c>
      <c r="I9" s="30">
        <f>H9/(1+'Inputs &amp; Summary'!$C$11)^(5-1)</f>
        <v>118863.693687091</v>
      </c>
      <c r="J9" s="31">
        <f t="shared" si="1"/>
        <v>3.4562974059099111E-2</v>
      </c>
      <c r="K9" s="28">
        <f t="shared" si="2"/>
        <v>224213.73653396228</v>
      </c>
      <c r="L9" s="28">
        <f t="shared" si="3"/>
        <v>3961109.3454333334</v>
      </c>
      <c r="M9" s="30">
        <f>L9/(1+'Inputs &amp; Summary'!$C$11)^(5-1)</f>
        <v>3519394.3487953097</v>
      </c>
      <c r="N9" s="32">
        <f>IF(B9&gt;='Inputs &amp; Summary'!$C$18,'Inputs &amp; Summary'!$C$17*VLOOKUP('Inputs &amp; Summary'!$C$18,'Inputs &amp; Summary'!$H$21:$I$29,2,FALSE)*(1+'Inputs &amp; Summary'!$C$11)^(5-1),0)</f>
        <v>0</v>
      </c>
      <c r="O9" s="28">
        <f t="shared" si="4"/>
        <v>133782.13443396229</v>
      </c>
      <c r="P9" s="30">
        <f>O9/(1+'Inputs &amp; Summary'!$C$11)^(5-1)</f>
        <v>118863.693687091</v>
      </c>
    </row>
    <row r="10" spans="1:16" x14ac:dyDescent="0.35">
      <c r="A10" s="33">
        <v>6</v>
      </c>
      <c r="B10" s="33">
        <f>'Inputs &amp; Summary'!$C$7+6-1</f>
        <v>55</v>
      </c>
      <c r="C10" s="33">
        <f>IFERROR(VLOOKUP(B10,'Life Expectancy'!$A$6:$B$81,2,FALSE),1.5)</f>
        <v>27.9</v>
      </c>
      <c r="D10" s="34">
        <f>'4% Rule'!C10</f>
        <v>0.06</v>
      </c>
      <c r="E10" s="35">
        <f t="shared" si="5"/>
        <v>3961109.3454333334</v>
      </c>
      <c r="F10" s="35">
        <f t="shared" si="0"/>
        <v>141975.24535603347</v>
      </c>
      <c r="G10" s="35">
        <f>MIN('Inputs &amp; Summary'!$C$14*E10,MAX('Inputs &amp; Summary'!$C$13*E10,F10))</f>
        <v>141975.24535603347</v>
      </c>
      <c r="H10" s="36">
        <f>MIN(MIN(H9*(1+'Inputs &amp; Summary'!$C$15),MAX(H9*(1-'Inputs &amp; Summary'!$C$15),G10)),E10)</f>
        <v>140471.24115566042</v>
      </c>
      <c r="I10" s="37">
        <f>H10/(1+'Inputs &amp; Summary'!$C$11)^(6-1)</f>
        <v>121171.72657421899</v>
      </c>
      <c r="J10" s="38">
        <f t="shared" si="1"/>
        <v>3.5462601232557817E-2</v>
      </c>
      <c r="K10" s="35">
        <f t="shared" si="2"/>
        <v>229238.28625666039</v>
      </c>
      <c r="L10" s="35">
        <f t="shared" si="3"/>
        <v>4049876.3905343334</v>
      </c>
      <c r="M10" s="37">
        <f>L10/(1+'Inputs &amp; Summary'!$C$11)^(6-1)</f>
        <v>3493458.9501449475</v>
      </c>
      <c r="N10" s="39">
        <f>IF(B10&gt;='Inputs &amp; Summary'!$C$18,'Inputs &amp; Summary'!$C$17*VLOOKUP('Inputs &amp; Summary'!$C$18,'Inputs &amp; Summary'!$H$21:$I$29,2,FALSE)*(1+'Inputs &amp; Summary'!$C$11)^(6-1),0)</f>
        <v>0</v>
      </c>
      <c r="O10" s="35">
        <f t="shared" si="4"/>
        <v>140471.24115566042</v>
      </c>
      <c r="P10" s="37">
        <f>O10/(1+'Inputs &amp; Summary'!$C$11)^(6-1)</f>
        <v>121171.72657421899</v>
      </c>
    </row>
    <row r="11" spans="1:16" x14ac:dyDescent="0.35">
      <c r="A11" s="9">
        <v>7</v>
      </c>
      <c r="B11" s="9">
        <f>'Inputs &amp; Summary'!$C$7+7-1</f>
        <v>56</v>
      </c>
      <c r="C11" s="9">
        <f>IFERROR(VLOOKUP(B11,'Life Expectancy'!$A$6:$B$81,2,FALSE),1.5)</f>
        <v>27.1</v>
      </c>
      <c r="D11" s="27">
        <f>'4% Rule'!C11</f>
        <v>0.06</v>
      </c>
      <c r="E11" s="28">
        <f t="shared" si="5"/>
        <v>4049876.3905343334</v>
      </c>
      <c r="F11" s="28">
        <f t="shared" si="0"/>
        <v>149441.93323004921</v>
      </c>
      <c r="G11" s="28">
        <f>MIN('Inputs &amp; Summary'!$C$14*E11,MAX('Inputs &amp; Summary'!$C$13*E11,F11))</f>
        <v>149441.93323004921</v>
      </c>
      <c r="H11" s="29">
        <f>MIN(MIN(H10*(1+'Inputs &amp; Summary'!$C$15),MAX(H10*(1-'Inputs &amp; Summary'!$C$15),G11)),E11)</f>
        <v>147494.80321344346</v>
      </c>
      <c r="I11" s="30">
        <f>H11/(1+'Inputs &amp; Summary'!$C$11)^(7-1)</f>
        <v>123524.57563391258</v>
      </c>
      <c r="J11" s="31">
        <f t="shared" si="1"/>
        <v>3.6419581486037224E-2</v>
      </c>
      <c r="K11" s="28">
        <f t="shared" si="2"/>
        <v>234142.89523925338</v>
      </c>
      <c r="L11" s="28">
        <f t="shared" si="3"/>
        <v>4136524.4825601433</v>
      </c>
      <c r="M11" s="30">
        <f>L11/(1+'Inputs &amp; Summary'!$C$11)^(7-1)</f>
        <v>3464274.1315306197</v>
      </c>
      <c r="N11" s="32">
        <f>IF(B11&gt;='Inputs &amp; Summary'!$C$18,'Inputs &amp; Summary'!$C$17*VLOOKUP('Inputs &amp; Summary'!$C$18,'Inputs &amp; Summary'!$H$21:$I$29,2,FALSE)*(1+'Inputs &amp; Summary'!$C$11)^(7-1),0)</f>
        <v>0</v>
      </c>
      <c r="O11" s="28">
        <f t="shared" si="4"/>
        <v>147494.80321344346</v>
      </c>
      <c r="P11" s="30">
        <f>O11/(1+'Inputs &amp; Summary'!$C$11)^(7-1)</f>
        <v>123524.57563391258</v>
      </c>
    </row>
    <row r="12" spans="1:16" x14ac:dyDescent="0.35">
      <c r="A12" s="33">
        <v>8</v>
      </c>
      <c r="B12" s="33">
        <f>'Inputs &amp; Summary'!$C$7+8-1</f>
        <v>57</v>
      </c>
      <c r="C12" s="33">
        <f>IFERROR(VLOOKUP(B12,'Life Expectancy'!$A$6:$B$81,2,FALSE),1.5)</f>
        <v>26.3</v>
      </c>
      <c r="D12" s="34">
        <f>'4% Rule'!C12</f>
        <v>0.06</v>
      </c>
      <c r="E12" s="35">
        <f t="shared" si="5"/>
        <v>4136524.4825601433</v>
      </c>
      <c r="F12" s="35">
        <f t="shared" si="0"/>
        <v>157282.2997171157</v>
      </c>
      <c r="G12" s="35">
        <f>MIN('Inputs &amp; Summary'!$C$14*E12,MAX('Inputs &amp; Summary'!$C$13*E12,F12))</f>
        <v>157282.2997171157</v>
      </c>
      <c r="H12" s="36">
        <f>MIN(MIN(H11*(1+'Inputs &amp; Summary'!$C$15),MAX(H11*(1-'Inputs &amp; Summary'!$C$15),G12)),E12)</f>
        <v>154869.54337411563</v>
      </c>
      <c r="I12" s="37">
        <f>H12/(1+'Inputs &amp; Summary'!$C$11)^(8-1)</f>
        <v>125923.11108311475</v>
      </c>
      <c r="J12" s="38">
        <f t="shared" si="1"/>
        <v>3.7439532638343063E-2</v>
      </c>
      <c r="K12" s="35">
        <f t="shared" si="2"/>
        <v>238899.29635116167</v>
      </c>
      <c r="L12" s="35">
        <f t="shared" si="3"/>
        <v>4220554.2355371891</v>
      </c>
      <c r="M12" s="37">
        <f>L12/(1+'Inputs &amp; Summary'!$C$11)^(8-1)</f>
        <v>3431696.8220795263</v>
      </c>
      <c r="N12" s="39">
        <f>IF(B12&gt;='Inputs &amp; Summary'!$C$18,'Inputs &amp; Summary'!$C$17*VLOOKUP('Inputs &amp; Summary'!$C$18,'Inputs &amp; Summary'!$H$21:$I$29,2,FALSE)*(1+'Inputs &amp; Summary'!$C$11)^(8-1),0)</f>
        <v>0</v>
      </c>
      <c r="O12" s="35">
        <f t="shared" si="4"/>
        <v>154869.54337411563</v>
      </c>
      <c r="P12" s="37">
        <f>O12/(1+'Inputs &amp; Summary'!$C$11)^(8-1)</f>
        <v>125923.11108311475</v>
      </c>
    </row>
    <row r="13" spans="1:16" x14ac:dyDescent="0.35">
      <c r="A13" s="9">
        <v>9</v>
      </c>
      <c r="B13" s="9">
        <f>'Inputs &amp; Summary'!$C$7+9-1</f>
        <v>58</v>
      </c>
      <c r="C13" s="9">
        <f>IFERROR(VLOOKUP(B13,'Life Expectancy'!$A$6:$B$81,2,FALSE),1.5)</f>
        <v>25.5</v>
      </c>
      <c r="D13" s="27">
        <f>'4% Rule'!C13</f>
        <v>0.06</v>
      </c>
      <c r="E13" s="28">
        <f t="shared" si="5"/>
        <v>4220554.2355371891</v>
      </c>
      <c r="F13" s="28">
        <f t="shared" si="0"/>
        <v>165511.93080537996</v>
      </c>
      <c r="G13" s="28">
        <f>MIN('Inputs &amp; Summary'!$C$14*E13,MAX('Inputs &amp; Summary'!$C$13*E13,F13))</f>
        <v>165511.93080537996</v>
      </c>
      <c r="H13" s="29">
        <f>MIN(MIN(H12*(1+'Inputs &amp; Summary'!$C$15),MAX(H12*(1-'Inputs &amp; Summary'!$C$15),G13)),E13)</f>
        <v>162613.02054282141</v>
      </c>
      <c r="I13" s="30">
        <f>H13/(1+'Inputs &amp; Summary'!$C$11)^(9-1)</f>
        <v>128368.22003618495</v>
      </c>
      <c r="J13" s="31">
        <f t="shared" si="1"/>
        <v>3.8528830923108409E-2</v>
      </c>
      <c r="K13" s="28">
        <f t="shared" si="2"/>
        <v>243476.47289966204</v>
      </c>
      <c r="L13" s="28">
        <f t="shared" si="3"/>
        <v>4301417.6878940295</v>
      </c>
      <c r="M13" s="30">
        <f>L13/(1+'Inputs &amp; Summary'!$C$11)^(9-1)</f>
        <v>3395578.8434648458</v>
      </c>
      <c r="N13" s="32">
        <f>IF(B13&gt;='Inputs &amp; Summary'!$C$18,'Inputs &amp; Summary'!$C$17*VLOOKUP('Inputs &amp; Summary'!$C$18,'Inputs &amp; Summary'!$H$21:$I$29,2,FALSE)*(1+'Inputs &amp; Summary'!$C$11)^(9-1),0)</f>
        <v>0</v>
      </c>
      <c r="O13" s="28">
        <f t="shared" si="4"/>
        <v>162613.02054282141</v>
      </c>
      <c r="P13" s="30">
        <f>O13/(1+'Inputs &amp; Summary'!$C$11)^(9-1)</f>
        <v>128368.22003618495</v>
      </c>
    </row>
    <row r="14" spans="1:16" x14ac:dyDescent="0.35">
      <c r="A14" s="33">
        <v>10</v>
      </c>
      <c r="B14" s="33">
        <f>'Inputs &amp; Summary'!$C$7+10-1</f>
        <v>59</v>
      </c>
      <c r="C14" s="33">
        <f>IFERROR(VLOOKUP(B14,'Life Expectancy'!$A$6:$B$81,2,FALSE),1.5)</f>
        <v>24.8</v>
      </c>
      <c r="D14" s="34">
        <f>'4% Rule'!C14</f>
        <v>0.06</v>
      </c>
      <c r="E14" s="35">
        <f t="shared" si="5"/>
        <v>4301417.6878940295</v>
      </c>
      <c r="F14" s="35">
        <f t="shared" si="0"/>
        <v>173444.26160863022</v>
      </c>
      <c r="G14" s="35">
        <f>MIN('Inputs &amp; Summary'!$C$14*E14,MAX('Inputs &amp; Summary'!$C$13*E14,F14))</f>
        <v>173444.26160863022</v>
      </c>
      <c r="H14" s="36">
        <f>MIN(MIN(H13*(1+'Inputs &amp; Summary'!$C$15),MAX(H13*(1-'Inputs &amp; Summary'!$C$15),G14)),E14)</f>
        <v>170743.67156996249</v>
      </c>
      <c r="I14" s="37">
        <f>H14/(1+'Inputs &amp; Summary'!$C$11)^(10-1)</f>
        <v>130860.80683300408</v>
      </c>
      <c r="J14" s="38">
        <f t="shared" si="1"/>
        <v>3.9694743444819575E-2</v>
      </c>
      <c r="K14" s="35">
        <f t="shared" si="2"/>
        <v>247840.44097944401</v>
      </c>
      <c r="L14" s="35">
        <f t="shared" si="3"/>
        <v>4378514.457303511</v>
      </c>
      <c r="M14" s="37">
        <f>L14/(1+'Inputs &amp; Summary'!$C$11)^(10-1)</f>
        <v>3355766.7428858858</v>
      </c>
      <c r="N14" s="39">
        <f>IF(B14&gt;='Inputs &amp; Summary'!$C$18,'Inputs &amp; Summary'!$C$17*VLOOKUP('Inputs &amp; Summary'!$C$18,'Inputs &amp; Summary'!$H$21:$I$29,2,FALSE)*(1+'Inputs &amp; Summary'!$C$11)^(10-1),0)</f>
        <v>0</v>
      </c>
      <c r="O14" s="35">
        <f t="shared" si="4"/>
        <v>170743.67156996249</v>
      </c>
      <c r="P14" s="37">
        <f>O14/(1+'Inputs &amp; Summary'!$C$11)^(10-1)</f>
        <v>130860.80683300408</v>
      </c>
    </row>
    <row r="15" spans="1:16" x14ac:dyDescent="0.35">
      <c r="A15" s="9">
        <v>11</v>
      </c>
      <c r="B15" s="9">
        <f>'Inputs &amp; Summary'!$C$7+11-1</f>
        <v>60</v>
      </c>
      <c r="C15" s="9">
        <f>IFERROR(VLOOKUP(B15,'Life Expectancy'!$A$6:$B$81,2,FALSE),1.5)</f>
        <v>24</v>
      </c>
      <c r="D15" s="27">
        <f>'4% Rule'!C15</f>
        <v>0.06</v>
      </c>
      <c r="E15" s="28">
        <f t="shared" si="5"/>
        <v>4378514.457303511</v>
      </c>
      <c r="F15" s="28">
        <f t="shared" si="0"/>
        <v>182438.1023876463</v>
      </c>
      <c r="G15" s="28">
        <f>MIN('Inputs &amp; Summary'!$C$14*E15,MAX('Inputs &amp; Summary'!$C$13*E15,F15))</f>
        <v>182438.1023876463</v>
      </c>
      <c r="H15" s="29">
        <f>MIN(MIN(H14*(1+'Inputs &amp; Summary'!$C$15),MAX(H14*(1-'Inputs &amp; Summary'!$C$15),G15)),E15)</f>
        <v>179280.85514846063</v>
      </c>
      <c r="I15" s="30">
        <f>H15/(1+'Inputs &amp; Summary'!$C$11)^(11-1)</f>
        <v>133401.79337345078</v>
      </c>
      <c r="J15" s="31">
        <f t="shared" si="1"/>
        <v>4.0945589399485498E-2</v>
      </c>
      <c r="K15" s="28">
        <f t="shared" si="2"/>
        <v>251954.016129303</v>
      </c>
      <c r="L15" s="28">
        <f t="shared" si="3"/>
        <v>4451187.6182843531</v>
      </c>
      <c r="M15" s="30">
        <f>L15/(1+'Inputs &amp; Summary'!$C$11)^(11-1)</f>
        <v>3312101.6208290341</v>
      </c>
      <c r="N15" s="32">
        <f>IF(B15&gt;='Inputs &amp; Summary'!$C$18,'Inputs &amp; Summary'!$C$17*VLOOKUP('Inputs &amp; Summary'!$C$18,'Inputs &amp; Summary'!$H$21:$I$29,2,FALSE)*(1+'Inputs &amp; Summary'!$C$11)^(11-1),0)</f>
        <v>0</v>
      </c>
      <c r="O15" s="28">
        <f t="shared" si="4"/>
        <v>179280.85514846063</v>
      </c>
      <c r="P15" s="30">
        <f>O15/(1+'Inputs &amp; Summary'!$C$11)^(11-1)</f>
        <v>133401.79337345078</v>
      </c>
    </row>
    <row r="16" spans="1:16" x14ac:dyDescent="0.35">
      <c r="A16" s="33">
        <v>12</v>
      </c>
      <c r="B16" s="33">
        <f>'Inputs &amp; Summary'!$C$7+12-1</f>
        <v>61</v>
      </c>
      <c r="C16" s="33">
        <f>IFERROR(VLOOKUP(B16,'Life Expectancy'!$A$6:$B$81,2,FALSE),1.5)</f>
        <v>23.2</v>
      </c>
      <c r="D16" s="34">
        <f>'4% Rule'!C16</f>
        <v>0.06</v>
      </c>
      <c r="E16" s="35">
        <f t="shared" si="5"/>
        <v>4451187.6182843531</v>
      </c>
      <c r="F16" s="35">
        <f t="shared" si="0"/>
        <v>191861.5352708773</v>
      </c>
      <c r="G16" s="35">
        <f>MIN('Inputs &amp; Summary'!$C$14*E16,MAX('Inputs &amp; Summary'!$C$13*E16,F16))</f>
        <v>191861.5352708773</v>
      </c>
      <c r="H16" s="36">
        <f>MIN(MIN(H15*(1+'Inputs &amp; Summary'!$C$15),MAX(H15*(1-'Inputs &amp; Summary'!$C$15),G16)),E16)</f>
        <v>188244.89790588367</v>
      </c>
      <c r="I16" s="37">
        <f>H16/(1+'Inputs &amp; Summary'!$C$11)^(12-1)</f>
        <v>135992.11945837215</v>
      </c>
      <c r="J16" s="38">
        <f t="shared" si="1"/>
        <v>4.2290937621371261E-2</v>
      </c>
      <c r="K16" s="35">
        <f t="shared" si="2"/>
        <v>255776.56322270818</v>
      </c>
      <c r="L16" s="35">
        <f t="shared" si="3"/>
        <v>4518719.2836011779</v>
      </c>
      <c r="M16" s="37">
        <f>L16/(1+'Inputs &amp; Summary'!$C$11)^(12-1)</f>
        <v>3264418.9534506076</v>
      </c>
      <c r="N16" s="39">
        <f>IF(B16&gt;='Inputs &amp; Summary'!$C$18,'Inputs &amp; Summary'!$C$17*VLOOKUP('Inputs &amp; Summary'!$C$18,'Inputs &amp; Summary'!$H$21:$I$29,2,FALSE)*(1+'Inputs &amp; Summary'!$C$11)^(12-1),0)</f>
        <v>0</v>
      </c>
      <c r="O16" s="35">
        <f t="shared" si="4"/>
        <v>188244.89790588367</v>
      </c>
      <c r="P16" s="37">
        <f>O16/(1+'Inputs &amp; Summary'!$C$11)^(12-1)</f>
        <v>135992.11945837215</v>
      </c>
    </row>
    <row r="17" spans="1:16" x14ac:dyDescent="0.35">
      <c r="A17" s="9">
        <v>13</v>
      </c>
      <c r="B17" s="9">
        <f>'Inputs &amp; Summary'!$C$7+13-1</f>
        <v>62</v>
      </c>
      <c r="C17" s="9">
        <f>IFERROR(VLOOKUP(B17,'Life Expectancy'!$A$6:$B$81,2,FALSE),1.5)</f>
        <v>22.4</v>
      </c>
      <c r="D17" s="27">
        <f>'4% Rule'!C17</f>
        <v>0.06</v>
      </c>
      <c r="E17" s="28">
        <f t="shared" si="5"/>
        <v>4518719.2836011779</v>
      </c>
      <c r="F17" s="28">
        <f t="shared" si="0"/>
        <v>201728.53944648115</v>
      </c>
      <c r="G17" s="28">
        <f>MIN('Inputs &amp; Summary'!$C$14*E17,MAX('Inputs &amp; Summary'!$C$13*E17,F17))</f>
        <v>201728.53944648115</v>
      </c>
      <c r="H17" s="29">
        <f>MIN(MIN(H16*(1+'Inputs &amp; Summary'!$C$15),MAX(H16*(1-'Inputs &amp; Summary'!$C$15),G17)),E17)</f>
        <v>197657.14280117786</v>
      </c>
      <c r="I17" s="30">
        <f>H17/(1+'Inputs &amp; Summary'!$C$11)^(13-1)</f>
        <v>138632.74313717554</v>
      </c>
      <c r="J17" s="31">
        <f t="shared" si="1"/>
        <v>4.3741850377493618E-2</v>
      </c>
      <c r="K17" s="28">
        <f t="shared" si="2"/>
        <v>259263.72844800001</v>
      </c>
      <c r="L17" s="28">
        <f t="shared" si="3"/>
        <v>4580325.869248</v>
      </c>
      <c r="M17" s="30">
        <f>L17/(1+'Inputs &amp; Summary'!$C$11)^(13-1)</f>
        <v>3212548.409417938</v>
      </c>
      <c r="N17" s="32">
        <f>IF(B17&gt;='Inputs &amp; Summary'!$C$18,'Inputs &amp; Summary'!$C$17*VLOOKUP('Inputs &amp; Summary'!$C$18,'Inputs &amp; Summary'!$H$21:$I$29,2,FALSE)*(1+'Inputs &amp; Summary'!$C$11)^(13-1),0)</f>
        <v>0</v>
      </c>
      <c r="O17" s="28">
        <f t="shared" si="4"/>
        <v>197657.14280117786</v>
      </c>
      <c r="P17" s="30">
        <f>O17/(1+'Inputs &amp; Summary'!$C$11)^(13-1)</f>
        <v>138632.74313717554</v>
      </c>
    </row>
    <row r="18" spans="1:16" x14ac:dyDescent="0.35">
      <c r="A18" s="33">
        <v>14</v>
      </c>
      <c r="B18" s="33">
        <f>'Inputs &amp; Summary'!$C$7+14-1</f>
        <v>63</v>
      </c>
      <c r="C18" s="33">
        <f>IFERROR(VLOOKUP(B18,'Life Expectancy'!$A$6:$B$81,2,FALSE),1.5)</f>
        <v>21.7</v>
      </c>
      <c r="D18" s="34">
        <f>'4% Rule'!C18</f>
        <v>0.06</v>
      </c>
      <c r="E18" s="35">
        <f t="shared" si="5"/>
        <v>4580325.869248</v>
      </c>
      <c r="F18" s="35">
        <f t="shared" si="0"/>
        <v>211074.92485013825</v>
      </c>
      <c r="G18" s="35">
        <f>MIN('Inputs &amp; Summary'!$C$14*E18,MAX('Inputs &amp; Summary'!$C$13*E18,F18))</f>
        <v>211074.92485013825</v>
      </c>
      <c r="H18" s="36">
        <f>MIN(MIN(H17*(1+'Inputs &amp; Summary'!$C$15),MAX(H17*(1-'Inputs &amp; Summary'!$C$15),G18)),E18)</f>
        <v>207539.99994123678</v>
      </c>
      <c r="I18" s="37">
        <f>H18/(1+'Inputs &amp; Summary'!$C$11)^(14-1)</f>
        <v>141324.64106216925</v>
      </c>
      <c r="J18" s="38">
        <f t="shared" si="1"/>
        <v>4.531118655435553E-2</v>
      </c>
      <c r="K18" s="35">
        <f t="shared" si="2"/>
        <v>262367.15215840581</v>
      </c>
      <c r="L18" s="35">
        <f t="shared" si="3"/>
        <v>4635153.0214651693</v>
      </c>
      <c r="M18" s="37">
        <f>L18/(1+'Inputs &amp; Summary'!$C$11)^(14-1)</f>
        <v>3156313.6610401343</v>
      </c>
      <c r="N18" s="39">
        <f>IF(B18&gt;='Inputs &amp; Summary'!$C$18,'Inputs &amp; Summary'!$C$17*VLOOKUP('Inputs &amp; Summary'!$C$18,'Inputs &amp; Summary'!$H$21:$I$29,2,FALSE)*(1+'Inputs &amp; Summary'!$C$11)^(14-1),0)</f>
        <v>0</v>
      </c>
      <c r="O18" s="35">
        <f t="shared" si="4"/>
        <v>207539.99994123678</v>
      </c>
      <c r="P18" s="37">
        <f>O18/(1+'Inputs &amp; Summary'!$C$11)^(14-1)</f>
        <v>141324.64106216925</v>
      </c>
    </row>
    <row r="19" spans="1:16" x14ac:dyDescent="0.35">
      <c r="A19" s="9">
        <v>15</v>
      </c>
      <c r="B19" s="9">
        <f>'Inputs &amp; Summary'!$C$7+15-1</f>
        <v>64</v>
      </c>
      <c r="C19" s="9">
        <f>IFERROR(VLOOKUP(B19,'Life Expectancy'!$A$6:$B$81,2,FALSE),1.5)</f>
        <v>21</v>
      </c>
      <c r="D19" s="27">
        <f>'4% Rule'!C19</f>
        <v>0.06</v>
      </c>
      <c r="E19" s="28">
        <f t="shared" si="5"/>
        <v>4635153.0214651693</v>
      </c>
      <c r="F19" s="28">
        <f t="shared" si="0"/>
        <v>220721.57245072233</v>
      </c>
      <c r="G19" s="28">
        <f>MIN('Inputs &amp; Summary'!$C$14*E19,MAX('Inputs &amp; Summary'!$C$13*E19,F19))</f>
        <v>220721.57245072233</v>
      </c>
      <c r="H19" s="29">
        <f>MIN(MIN(H18*(1+'Inputs &amp; Summary'!$C$15),MAX(H18*(1-'Inputs &amp; Summary'!$C$15),G19)),E19)</f>
        <v>217916.99993829863</v>
      </c>
      <c r="I19" s="30">
        <f>H19/(1+'Inputs &amp; Summary'!$C$11)^(15-1)</f>
        <v>144068.80884978417</v>
      </c>
      <c r="J19" s="31">
        <f t="shared" si="1"/>
        <v>4.7013981831696937E-2</v>
      </c>
      <c r="K19" s="28">
        <f t="shared" si="2"/>
        <v>265034.1612916122</v>
      </c>
      <c r="L19" s="28">
        <f t="shared" si="3"/>
        <v>4682270.1828184826</v>
      </c>
      <c r="M19" s="30">
        <f>L19/(1+'Inputs &amp; Summary'!$C$11)^(15-1)</f>
        <v>3095532.1895149006</v>
      </c>
      <c r="N19" s="32">
        <f>IF(B19&gt;='Inputs &amp; Summary'!$C$18,'Inputs &amp; Summary'!$C$17*VLOOKUP('Inputs &amp; Summary'!$C$18,'Inputs &amp; Summary'!$H$21:$I$29,2,FALSE)*(1+'Inputs &amp; Summary'!$C$11)^(15-1),0)</f>
        <v>0</v>
      </c>
      <c r="O19" s="28">
        <f t="shared" si="4"/>
        <v>217916.99993829863</v>
      </c>
      <c r="P19" s="30">
        <f>O19/(1+'Inputs &amp; Summary'!$C$11)^(15-1)</f>
        <v>144068.80884978417</v>
      </c>
    </row>
    <row r="20" spans="1:16" x14ac:dyDescent="0.35">
      <c r="A20" s="33">
        <v>16</v>
      </c>
      <c r="B20" s="33">
        <f>'Inputs &amp; Summary'!$C$7+16-1</f>
        <v>65</v>
      </c>
      <c r="C20" s="33">
        <f>IFERROR(VLOOKUP(B20,'Life Expectancy'!$A$6:$B$81,2,FALSE),1.5)</f>
        <v>20.2</v>
      </c>
      <c r="D20" s="34">
        <f>'4% Rule'!C20</f>
        <v>0.06</v>
      </c>
      <c r="E20" s="35">
        <f t="shared" si="5"/>
        <v>4682270.1828184826</v>
      </c>
      <c r="F20" s="35">
        <f t="shared" si="0"/>
        <v>231795.5536048754</v>
      </c>
      <c r="G20" s="35">
        <f>MIN('Inputs &amp; Summary'!$C$14*E20,MAX('Inputs &amp; Summary'!$C$13*E20,F20))</f>
        <v>231795.5536048754</v>
      </c>
      <c r="H20" s="36">
        <f>MIN(MIN(H19*(1+'Inputs &amp; Summary'!$C$15),MAX(H19*(1-'Inputs &amp; Summary'!$C$15),G20)),E20)</f>
        <v>228812.84993521357</v>
      </c>
      <c r="I20" s="37">
        <f>H20/(1+'Inputs &amp; Summary'!$C$11)^(16-1)</f>
        <v>146866.26144880912</v>
      </c>
      <c r="J20" s="38">
        <f t="shared" si="1"/>
        <v>4.8867929658318043E-2</v>
      </c>
      <c r="K20" s="35">
        <f t="shared" si="2"/>
        <v>267207.43997299613</v>
      </c>
      <c r="L20" s="35">
        <f t="shared" si="3"/>
        <v>4720664.7728562644</v>
      </c>
      <c r="M20" s="37">
        <f>L20/(1+'Inputs &amp; Summary'!$C$11)^(16-1)</f>
        <v>3030015.084112606</v>
      </c>
      <c r="N20" s="39">
        <f>IF(B20&gt;='Inputs &amp; Summary'!$C$18,'Inputs &amp; Summary'!$C$17*VLOOKUP('Inputs &amp; Summary'!$C$18,'Inputs &amp; Summary'!$H$21:$I$29,2,FALSE)*(1+'Inputs &amp; Summary'!$C$11)^(16-1),0)</f>
        <v>0</v>
      </c>
      <c r="O20" s="35">
        <f t="shared" si="4"/>
        <v>228812.84993521357</v>
      </c>
      <c r="P20" s="37">
        <f>O20/(1+'Inputs &amp; Summary'!$C$11)^(16-1)</f>
        <v>146866.26144880912</v>
      </c>
    </row>
    <row r="21" spans="1:16" x14ac:dyDescent="0.35">
      <c r="A21" s="9">
        <v>17</v>
      </c>
      <c r="B21" s="9">
        <f>'Inputs &amp; Summary'!$C$7+17-1</f>
        <v>66</v>
      </c>
      <c r="C21" s="9">
        <f>IFERROR(VLOOKUP(B21,'Life Expectancy'!$A$6:$B$81,2,FALSE),1.5)</f>
        <v>19.5</v>
      </c>
      <c r="D21" s="27">
        <f>'4% Rule'!C21</f>
        <v>0.06</v>
      </c>
      <c r="E21" s="28">
        <f t="shared" si="5"/>
        <v>4720664.7728562644</v>
      </c>
      <c r="F21" s="28">
        <f t="shared" si="0"/>
        <v>242085.37296698792</v>
      </c>
      <c r="G21" s="28">
        <f>MIN('Inputs &amp; Summary'!$C$14*E21,MAX('Inputs &amp; Summary'!$C$13*E21,F21))</f>
        <v>242085.37296698792</v>
      </c>
      <c r="H21" s="29">
        <f>MIN(MIN(H20*(1+'Inputs &amp; Summary'!$C$15),MAX(H20*(1-'Inputs &amp; Summary'!$C$15),G21)),E21)</f>
        <v>240253.49243197427</v>
      </c>
      <c r="I21" s="30">
        <f>H21/(1+'Inputs &amp; Summary'!$C$11)^(17-1)</f>
        <v>149718.0335157763</v>
      </c>
      <c r="J21" s="31">
        <f t="shared" si="1"/>
        <v>5.0893995653626463E-2</v>
      </c>
      <c r="K21" s="28">
        <f t="shared" si="2"/>
        <v>268824.67682545743</v>
      </c>
      <c r="L21" s="28">
        <f t="shared" si="3"/>
        <v>4749235.9572497476</v>
      </c>
      <c r="M21" s="30">
        <f>L21/(1+'Inputs &amp; Summary'!$C$11)^(17-1)</f>
        <v>2959566.8351134351</v>
      </c>
      <c r="N21" s="32">
        <f>IF(B21&gt;='Inputs &amp; Summary'!$C$18,'Inputs &amp; Summary'!$C$17*VLOOKUP('Inputs &amp; Summary'!$C$18,'Inputs &amp; Summary'!$H$21:$I$29,2,FALSE)*(1+'Inputs &amp; Summary'!$C$11)^(17-1),0)</f>
        <v>0</v>
      </c>
      <c r="O21" s="28">
        <f t="shared" si="4"/>
        <v>240253.49243197427</v>
      </c>
      <c r="P21" s="30">
        <f>O21/(1+'Inputs &amp; Summary'!$C$11)^(17-1)</f>
        <v>149718.0335157763</v>
      </c>
    </row>
    <row r="22" spans="1:16" x14ac:dyDescent="0.35">
      <c r="A22" s="33">
        <v>18</v>
      </c>
      <c r="B22" s="33">
        <f>'Inputs &amp; Summary'!$C$7+18-1</f>
        <v>67</v>
      </c>
      <c r="C22" s="33">
        <f>IFERROR(VLOOKUP(B22,'Life Expectancy'!$A$6:$B$81,2,FALSE),1.5)</f>
        <v>18.8</v>
      </c>
      <c r="D22" s="34">
        <f>'4% Rule'!C22</f>
        <v>0.06</v>
      </c>
      <c r="E22" s="35">
        <f t="shared" si="5"/>
        <v>4749235.9572497476</v>
      </c>
      <c r="F22" s="35">
        <f t="shared" si="0"/>
        <v>252618.93389626316</v>
      </c>
      <c r="G22" s="35">
        <f>MIN('Inputs &amp; Summary'!$C$14*E22,MAX('Inputs &amp; Summary'!$C$13*E22,F22))</f>
        <v>252618.93389626316</v>
      </c>
      <c r="H22" s="36">
        <f>MIN(MIN(H21*(1+'Inputs &amp; Summary'!$C$15),MAX(H21*(1-'Inputs &amp; Summary'!$C$15),G22)),E22)</f>
        <v>252266.16705357301</v>
      </c>
      <c r="I22" s="37">
        <f>H22/(1+'Inputs &amp; Summary'!$C$11)^(18-1)</f>
        <v>152625.17979763605</v>
      </c>
      <c r="J22" s="38">
        <f t="shared" si="1"/>
        <v>5.3117210710174681E-2</v>
      </c>
      <c r="K22" s="35">
        <f t="shared" si="2"/>
        <v>269818.18741177046</v>
      </c>
      <c r="L22" s="35">
        <f t="shared" si="3"/>
        <v>4766787.977607945</v>
      </c>
      <c r="M22" s="37">
        <f>L22/(1+'Inputs &amp; Summary'!$C$11)^(18-1)</f>
        <v>2883985.1203079438</v>
      </c>
      <c r="N22" s="39">
        <f>IF(B22&gt;='Inputs &amp; Summary'!$C$18,'Inputs &amp; Summary'!$C$17*VLOOKUP('Inputs &amp; Summary'!$C$18,'Inputs &amp; Summary'!$H$21:$I$29,2,FALSE)*(1+'Inputs &amp; Summary'!$C$11)^(18-1),0)</f>
        <v>49585.428968152519</v>
      </c>
      <c r="O22" s="35">
        <f t="shared" si="4"/>
        <v>301851.59602172551</v>
      </c>
      <c r="P22" s="37">
        <f>O22/(1+'Inputs &amp; Summary'!$C$11)^(18-1)</f>
        <v>182625.17979763605</v>
      </c>
    </row>
    <row r="23" spans="1:16" x14ac:dyDescent="0.35">
      <c r="A23" s="9">
        <v>19</v>
      </c>
      <c r="B23" s="9">
        <f>'Inputs &amp; Summary'!$C$7+19-1</f>
        <v>68</v>
      </c>
      <c r="C23" s="9">
        <f>IFERROR(VLOOKUP(B23,'Life Expectancy'!$A$6:$B$81,2,FALSE),1.5)</f>
        <v>18.100000000000001</v>
      </c>
      <c r="D23" s="27">
        <f>'4% Rule'!C23</f>
        <v>0.06</v>
      </c>
      <c r="E23" s="28">
        <f t="shared" si="5"/>
        <v>4766787.977607945</v>
      </c>
      <c r="F23" s="28">
        <f t="shared" si="0"/>
        <v>263358.45180154388</v>
      </c>
      <c r="G23" s="28">
        <f>MIN('Inputs &amp; Summary'!$C$14*E23,MAX('Inputs &amp; Summary'!$C$13*E23,F23))</f>
        <v>263358.45180154388</v>
      </c>
      <c r="H23" s="29">
        <f>MIN(MIN(H22*(1+'Inputs &amp; Summary'!$C$15),MAX(H22*(1-'Inputs &amp; Summary'!$C$15),G23)),E23)</f>
        <v>263358.45180154388</v>
      </c>
      <c r="I23" s="30">
        <f>H23/(1+'Inputs &amp; Summary'!$C$11)^(19-1)</f>
        <v>154695.33445839956</v>
      </c>
      <c r="J23" s="31">
        <f t="shared" si="1"/>
        <v>5.5248618784530378E-2</v>
      </c>
      <c r="K23" s="28">
        <f t="shared" si="2"/>
        <v>270205.77154838404</v>
      </c>
      <c r="L23" s="28">
        <f t="shared" si="3"/>
        <v>4773635.2973547848</v>
      </c>
      <c r="M23" s="30">
        <f>L23/(1+'Inputs &amp; Summary'!$C$11)^(19-1)</f>
        <v>2804007.6323929508</v>
      </c>
      <c r="N23" s="32">
        <f>IF(B23&gt;='Inputs &amp; Summary'!$C$18,'Inputs &amp; Summary'!$C$17*VLOOKUP('Inputs &amp; Summary'!$C$18,'Inputs &amp; Summary'!$H$21:$I$29,2,FALSE)*(1+'Inputs &amp; Summary'!$C$11)^(19-1),0)</f>
        <v>51072.9918371971</v>
      </c>
      <c r="O23" s="28">
        <f t="shared" si="4"/>
        <v>314431.44363874098</v>
      </c>
      <c r="P23" s="30">
        <f>O23/(1+'Inputs &amp; Summary'!$C$11)^(19-1)</f>
        <v>184695.33445839959</v>
      </c>
    </row>
    <row r="24" spans="1:16" x14ac:dyDescent="0.35">
      <c r="A24" s="33">
        <v>20</v>
      </c>
      <c r="B24" s="33">
        <f>'Inputs &amp; Summary'!$C$7+20-1</f>
        <v>69</v>
      </c>
      <c r="C24" s="33">
        <f>IFERROR(VLOOKUP(B24,'Life Expectancy'!$A$6:$B$81,2,FALSE),1.5)</f>
        <v>17.399999999999999</v>
      </c>
      <c r="D24" s="34">
        <f>'4% Rule'!C24</f>
        <v>0.06</v>
      </c>
      <c r="E24" s="35">
        <f t="shared" si="5"/>
        <v>4773635.2973547848</v>
      </c>
      <c r="F24" s="35">
        <f t="shared" si="0"/>
        <v>274346.85616981523</v>
      </c>
      <c r="G24" s="35">
        <f>MIN('Inputs &amp; Summary'!$C$14*E24,MAX('Inputs &amp; Summary'!$C$13*E24,F24))</f>
        <v>274346.85616981523</v>
      </c>
      <c r="H24" s="36">
        <f>MIN(MIN(H23*(1+'Inputs &amp; Summary'!$C$15),MAX(H23*(1-'Inputs &amp; Summary'!$C$15),G24)),E24)</f>
        <v>274346.85616981523</v>
      </c>
      <c r="I24" s="37">
        <f>H24/(1+'Inputs &amp; Summary'!$C$11)^(20-1)</f>
        <v>156456.17857342659</v>
      </c>
      <c r="J24" s="38">
        <f t="shared" si="1"/>
        <v>5.7471264367816098E-2</v>
      </c>
      <c r="K24" s="35">
        <f t="shared" si="2"/>
        <v>269957.30647109816</v>
      </c>
      <c r="L24" s="35">
        <f t="shared" si="3"/>
        <v>4769245.7476560678</v>
      </c>
      <c r="M24" s="37">
        <f>L24/(1+'Inputs &amp; Summary'!$C$11)^(20-1)</f>
        <v>2719834.2083204477</v>
      </c>
      <c r="N24" s="39">
        <f>IF(B24&gt;='Inputs &amp; Summary'!$C$18,'Inputs &amp; Summary'!$C$17*VLOOKUP('Inputs &amp; Summary'!$C$18,'Inputs &amp; Summary'!$H$21:$I$29,2,FALSE)*(1+'Inputs &amp; Summary'!$C$11)^(20-1),0)</f>
        <v>52605.181592313005</v>
      </c>
      <c r="O24" s="35">
        <f t="shared" si="4"/>
        <v>326952.03776212822</v>
      </c>
      <c r="P24" s="37">
        <f>O24/(1+'Inputs &amp; Summary'!$C$11)^(20-1)</f>
        <v>186456.17857342659</v>
      </c>
    </row>
    <row r="25" spans="1:16" x14ac:dyDescent="0.35">
      <c r="A25" s="9">
        <v>21</v>
      </c>
      <c r="B25" s="9">
        <f>'Inputs &amp; Summary'!$C$7+21-1</f>
        <v>70</v>
      </c>
      <c r="C25" s="9">
        <f>IFERROR(VLOOKUP(B25,'Life Expectancy'!$A$6:$B$81,2,FALSE),1.5)</f>
        <v>16.7</v>
      </c>
      <c r="D25" s="27">
        <f>'4% Rule'!C25</f>
        <v>0.06</v>
      </c>
      <c r="E25" s="28">
        <f t="shared" si="5"/>
        <v>4769245.7476560678</v>
      </c>
      <c r="F25" s="28">
        <f t="shared" si="0"/>
        <v>285583.57770395617</v>
      </c>
      <c r="G25" s="28">
        <f>MIN('Inputs &amp; Summary'!$C$14*E25,MAX('Inputs &amp; Summary'!$C$13*E25,F25))</f>
        <v>285583.57770395617</v>
      </c>
      <c r="H25" s="29">
        <f>MIN(MIN(H24*(1+'Inputs &amp; Summary'!$C$15),MAX(H24*(1-'Inputs &amp; Summary'!$C$15),G25)),E25)</f>
        <v>285583.57770395617</v>
      </c>
      <c r="I25" s="30">
        <f>H25/(1+'Inputs &amp; Summary'!$C$11)^(21-1)</f>
        <v>158120.70276846972</v>
      </c>
      <c r="J25" s="31">
        <f t="shared" si="1"/>
        <v>5.9880239520958084E-2</v>
      </c>
      <c r="K25" s="28">
        <f t="shared" si="2"/>
        <v>269019.73019712669</v>
      </c>
      <c r="L25" s="28">
        <f t="shared" si="3"/>
        <v>4752681.9001492383</v>
      </c>
      <c r="M25" s="30">
        <f>L25/(1+'Inputs &amp; Summary'!$C$11)^(21-1)</f>
        <v>2631444.7354728729</v>
      </c>
      <c r="N25" s="32">
        <f>IF(B25&gt;='Inputs &amp; Summary'!$C$18,'Inputs &amp; Summary'!$C$17*VLOOKUP('Inputs &amp; Summary'!$C$18,'Inputs &amp; Summary'!$H$21:$I$29,2,FALSE)*(1+'Inputs &amp; Summary'!$C$11)^(21-1),0)</f>
        <v>54183.337040082399</v>
      </c>
      <c r="O25" s="28">
        <f t="shared" si="4"/>
        <v>339766.91474403854</v>
      </c>
      <c r="P25" s="30">
        <f>O25/(1+'Inputs &amp; Summary'!$C$11)^(21-1)</f>
        <v>188120.70276846972</v>
      </c>
    </row>
    <row r="26" spans="1:16" x14ac:dyDescent="0.35">
      <c r="A26" s="33">
        <v>22</v>
      </c>
      <c r="B26" s="33">
        <f>'Inputs &amp; Summary'!$C$7+22-1</f>
        <v>71</v>
      </c>
      <c r="C26" s="33">
        <f>IFERROR(VLOOKUP(B26,'Life Expectancy'!$A$6:$B$81,2,FALSE),1.5)</f>
        <v>16</v>
      </c>
      <c r="D26" s="34">
        <f>'4% Rule'!C26</f>
        <v>0.06</v>
      </c>
      <c r="E26" s="35">
        <f t="shared" si="5"/>
        <v>4752681.9001492383</v>
      </c>
      <c r="F26" s="35">
        <f t="shared" si="0"/>
        <v>297042.61875932739</v>
      </c>
      <c r="G26" s="35">
        <f>MIN('Inputs &amp; Summary'!$C$14*E26,MAX('Inputs &amp; Summary'!$C$13*E26,F26))</f>
        <v>285160.91400895431</v>
      </c>
      <c r="H26" s="36">
        <f>MIN(MIN(H25*(1+'Inputs &amp; Summary'!$C$15),MAX(H25*(1-'Inputs &amp; Summary'!$C$15),G26)),E26)</f>
        <v>285160.91400895431</v>
      </c>
      <c r="I26" s="37">
        <f>H26/(1+'Inputs &amp; Summary'!$C$11)^(22-1)</f>
        <v>153288.04284308001</v>
      </c>
      <c r="J26" s="38">
        <f t="shared" si="1"/>
        <v>6.0000000000000005E-2</v>
      </c>
      <c r="K26" s="35">
        <f t="shared" si="2"/>
        <v>268051.25916841702</v>
      </c>
      <c r="L26" s="35">
        <f t="shared" si="3"/>
        <v>4735572.2453087009</v>
      </c>
      <c r="M26" s="37">
        <f>L26/(1+'Inputs &amp; Summary'!$C$11)^(22-1)</f>
        <v>2545603.4314807486</v>
      </c>
      <c r="N26" s="39">
        <f>IF(B26&gt;='Inputs &amp; Summary'!$C$18,'Inputs &amp; Summary'!$C$17*VLOOKUP('Inputs &amp; Summary'!$C$18,'Inputs &amp; Summary'!$H$21:$I$29,2,FALSE)*(1+'Inputs &amp; Summary'!$C$11)^(22-1),0)</f>
        <v>55808.837151284861</v>
      </c>
      <c r="O26" s="35">
        <f t="shared" si="4"/>
        <v>340969.75116023916</v>
      </c>
      <c r="P26" s="37">
        <f>O26/(1+'Inputs &amp; Summary'!$C$11)^(22-1)</f>
        <v>183288.04284308001</v>
      </c>
    </row>
    <row r="27" spans="1:16" x14ac:dyDescent="0.35">
      <c r="A27" s="9">
        <v>23</v>
      </c>
      <c r="B27" s="9">
        <f>'Inputs &amp; Summary'!$C$7+23-1</f>
        <v>72</v>
      </c>
      <c r="C27" s="9">
        <f>IFERROR(VLOOKUP(B27,'Life Expectancy'!$A$6:$B$81,2,FALSE),1.5)</f>
        <v>15.4</v>
      </c>
      <c r="D27" s="27">
        <f>'4% Rule'!C27</f>
        <v>0.06</v>
      </c>
      <c r="E27" s="28">
        <f t="shared" si="5"/>
        <v>4735572.2453087009</v>
      </c>
      <c r="F27" s="28">
        <f t="shared" si="0"/>
        <v>307504.69125381176</v>
      </c>
      <c r="G27" s="28">
        <f>MIN('Inputs &amp; Summary'!$C$14*E27,MAX('Inputs &amp; Summary'!$C$13*E27,F27))</f>
        <v>284134.33471852203</v>
      </c>
      <c r="H27" s="29">
        <f>MIN(MIN(H26*(1+'Inputs &amp; Summary'!$C$15),MAX(H26*(1-'Inputs &amp; Summary'!$C$15),G27)),E27)</f>
        <v>284134.33471852203</v>
      </c>
      <c r="I27" s="30">
        <f>H27/(1+'Inputs &amp; Summary'!$C$11)^(23-1)</f>
        <v>148287.5785328591</v>
      </c>
      <c r="J27" s="31">
        <f t="shared" si="1"/>
        <v>0.06</v>
      </c>
      <c r="K27" s="28">
        <f t="shared" si="2"/>
        <v>267086.27463541075</v>
      </c>
      <c r="L27" s="28">
        <f t="shared" si="3"/>
        <v>4718524.1852255901</v>
      </c>
      <c r="M27" s="30">
        <f>L27/(1+'Inputs &amp; Summary'!$C$11)^(23-1)</f>
        <v>2462562.3875023476</v>
      </c>
      <c r="N27" s="32">
        <f>IF(B27&gt;='Inputs &amp; Summary'!$C$18,'Inputs &amp; Summary'!$C$17*VLOOKUP('Inputs &amp; Summary'!$C$18,'Inputs &amp; Summary'!$H$21:$I$29,2,FALSE)*(1+'Inputs &amp; Summary'!$C$11)^(23-1),0)</f>
        <v>57483.102265823414</v>
      </c>
      <c r="O27" s="28">
        <f t="shared" si="4"/>
        <v>341617.43698434543</v>
      </c>
      <c r="P27" s="30">
        <f>O27/(1+'Inputs &amp; Summary'!$C$11)^(23-1)</f>
        <v>178287.5785328591</v>
      </c>
    </row>
    <row r="28" spans="1:16" x14ac:dyDescent="0.35">
      <c r="A28" s="33">
        <v>24</v>
      </c>
      <c r="B28" s="33">
        <f>'Inputs &amp; Summary'!$C$7+24-1</f>
        <v>73</v>
      </c>
      <c r="C28" s="33">
        <f>IFERROR(VLOOKUP(B28,'Life Expectancy'!$A$6:$B$81,2,FALSE),1.5)</f>
        <v>14.7</v>
      </c>
      <c r="D28" s="34">
        <f>'4% Rule'!C28</f>
        <v>0.06</v>
      </c>
      <c r="E28" s="35">
        <f t="shared" si="5"/>
        <v>4718524.1852255901</v>
      </c>
      <c r="F28" s="35">
        <f t="shared" si="0"/>
        <v>320988.03981126467</v>
      </c>
      <c r="G28" s="35">
        <f>MIN('Inputs &amp; Summary'!$C$14*E28,MAX('Inputs &amp; Summary'!$C$13*E28,F28))</f>
        <v>283111.45111353538</v>
      </c>
      <c r="H28" s="36">
        <f>MIN(MIN(H27*(1+'Inputs &amp; Summary'!$C$15),MAX(H27*(1-'Inputs &amp; Summary'!$C$15),G28)),E28)</f>
        <v>283111.45111353538</v>
      </c>
      <c r="I28" s="37">
        <f>H28/(1+'Inputs &amp; Summary'!$C$11)^(24-1)</f>
        <v>143450.23616518526</v>
      </c>
      <c r="J28" s="38">
        <f t="shared" si="1"/>
        <v>0.06</v>
      </c>
      <c r="K28" s="35">
        <f t="shared" si="2"/>
        <v>266124.76404672331</v>
      </c>
      <c r="L28" s="35">
        <f t="shared" si="3"/>
        <v>4701537.4981587781</v>
      </c>
      <c r="M28" s="37">
        <f>L28/(1+'Inputs &amp; Summary'!$C$11)^(24-1)</f>
        <v>2382230.2552498435</v>
      </c>
      <c r="N28" s="39">
        <f>IF(B28&gt;='Inputs &amp; Summary'!$C$18,'Inputs &amp; Summary'!$C$17*VLOOKUP('Inputs &amp; Summary'!$C$18,'Inputs &amp; Summary'!$H$21:$I$29,2,FALSE)*(1+'Inputs &amp; Summary'!$C$11)^(24-1),0)</f>
        <v>59207.595333798119</v>
      </c>
      <c r="O28" s="35">
        <f t="shared" si="4"/>
        <v>342319.04644733353</v>
      </c>
      <c r="P28" s="37">
        <f>O28/(1+'Inputs &amp; Summary'!$C$11)^(24-1)</f>
        <v>173450.23616518528</v>
      </c>
    </row>
    <row r="29" spans="1:16" x14ac:dyDescent="0.35">
      <c r="A29" s="9">
        <v>25</v>
      </c>
      <c r="B29" s="9">
        <f>'Inputs &amp; Summary'!$C$7+25-1</f>
        <v>74</v>
      </c>
      <c r="C29" s="9">
        <f>IFERROR(VLOOKUP(B29,'Life Expectancy'!$A$6:$B$81,2,FALSE),1.5)</f>
        <v>14.1</v>
      </c>
      <c r="D29" s="27">
        <f>'4% Rule'!C29</f>
        <v>0.06</v>
      </c>
      <c r="E29" s="28">
        <f t="shared" si="5"/>
        <v>4701537.4981587781</v>
      </c>
      <c r="F29" s="28">
        <f t="shared" si="0"/>
        <v>333442.37575594173</v>
      </c>
      <c r="G29" s="28">
        <f>MIN('Inputs &amp; Summary'!$C$14*E29,MAX('Inputs &amp; Summary'!$C$13*E29,F29))</f>
        <v>282092.24988952669</v>
      </c>
      <c r="H29" s="29">
        <f>MIN(MIN(H28*(1+'Inputs &amp; Summary'!$C$15),MAX(H28*(1-'Inputs &amp; Summary'!$C$15),G29)),E29)</f>
        <v>282092.24988952669</v>
      </c>
      <c r="I29" s="30">
        <f>H29/(1+'Inputs &amp; Summary'!$C$11)^(25-1)</f>
        <v>138770.69448057344</v>
      </c>
      <c r="J29" s="31">
        <f t="shared" si="1"/>
        <v>6.0000000000000005E-2</v>
      </c>
      <c r="K29" s="28">
        <f t="shared" si="2"/>
        <v>265166.71489615506</v>
      </c>
      <c r="L29" s="28">
        <f t="shared" si="3"/>
        <v>4684611.9631654061</v>
      </c>
      <c r="M29" s="30">
        <f>L29/(1+'Inputs &amp; Summary'!$C$11)^(25-1)</f>
        <v>2304518.6663407227</v>
      </c>
      <c r="N29" s="32">
        <f>IF(B29&gt;='Inputs &amp; Summary'!$C$18,'Inputs &amp; Summary'!$C$17*VLOOKUP('Inputs &amp; Summary'!$C$18,'Inputs &amp; Summary'!$H$21:$I$29,2,FALSE)*(1+'Inputs &amp; Summary'!$C$11)^(25-1),0)</f>
        <v>60983.823193812052</v>
      </c>
      <c r="O29" s="28">
        <f t="shared" si="4"/>
        <v>343076.07308333874</v>
      </c>
      <c r="P29" s="30">
        <f>O29/(1+'Inputs &amp; Summary'!$C$11)^(25-1)</f>
        <v>168770.69448057344</v>
      </c>
    </row>
    <row r="30" spans="1:16" x14ac:dyDescent="0.35">
      <c r="A30" s="33">
        <v>26</v>
      </c>
      <c r="B30" s="33">
        <f>'Inputs &amp; Summary'!$C$7+26-1</f>
        <v>75</v>
      </c>
      <c r="C30" s="33">
        <f>IFERROR(VLOOKUP(B30,'Life Expectancy'!$A$6:$B$81,2,FALSE),1.5)</f>
        <v>13.4</v>
      </c>
      <c r="D30" s="34">
        <f>'4% Rule'!C30</f>
        <v>0.06</v>
      </c>
      <c r="E30" s="35">
        <f t="shared" si="5"/>
        <v>4684611.9631654061</v>
      </c>
      <c r="F30" s="35">
        <f t="shared" si="0"/>
        <v>349597.90769891092</v>
      </c>
      <c r="G30" s="35">
        <f>MIN('Inputs &amp; Summary'!$C$14*E30,MAX('Inputs &amp; Summary'!$C$13*E30,F30))</f>
        <v>281076.71778992435</v>
      </c>
      <c r="H30" s="36">
        <f>MIN(MIN(H29*(1+'Inputs &amp; Summary'!$C$15),MAX(H29*(1-'Inputs &amp; Summary'!$C$15),G30)),E30)</f>
        <v>281076.71778992435</v>
      </c>
      <c r="I30" s="37">
        <f>H30/(1+'Inputs &amp; Summary'!$C$11)^(26-1)</f>
        <v>134243.8058062557</v>
      </c>
      <c r="J30" s="38">
        <f t="shared" si="1"/>
        <v>0.06</v>
      </c>
      <c r="K30" s="35">
        <f t="shared" si="2"/>
        <v>264212.1147225289</v>
      </c>
      <c r="L30" s="35">
        <f t="shared" si="3"/>
        <v>4667747.3600980099</v>
      </c>
      <c r="M30" s="37">
        <f>L30/(1+'Inputs &amp; Summary'!$C$11)^(26-1)</f>
        <v>2229342.1350892191</v>
      </c>
      <c r="N30" s="39">
        <f>IF(B30&gt;='Inputs &amp; Summary'!$C$18,'Inputs &amp; Summary'!$C$17*VLOOKUP('Inputs &amp; Summary'!$C$18,'Inputs &amp; Summary'!$H$21:$I$29,2,FALSE)*(1+'Inputs &amp; Summary'!$C$11)^(26-1),0)</f>
        <v>62813.337889626418</v>
      </c>
      <c r="O30" s="35">
        <f t="shared" si="4"/>
        <v>343890.05567955074</v>
      </c>
      <c r="P30" s="37">
        <f>O30/(1+'Inputs &amp; Summary'!$C$11)^(26-1)</f>
        <v>164243.80580625567</v>
      </c>
    </row>
    <row r="31" spans="1:16" x14ac:dyDescent="0.35">
      <c r="A31" s="9">
        <v>27</v>
      </c>
      <c r="B31" s="9">
        <f>'Inputs &amp; Summary'!$C$7+27-1</f>
        <v>76</v>
      </c>
      <c r="C31" s="9">
        <f>IFERROR(VLOOKUP(B31,'Life Expectancy'!$A$6:$B$81,2,FALSE),1.5)</f>
        <v>12.8</v>
      </c>
      <c r="D31" s="27">
        <f>'4% Rule'!C31</f>
        <v>0.06</v>
      </c>
      <c r="E31" s="28">
        <f t="shared" si="5"/>
        <v>4667747.3600980099</v>
      </c>
      <c r="F31" s="28">
        <f t="shared" si="0"/>
        <v>364667.762507657</v>
      </c>
      <c r="G31" s="28">
        <f>MIN('Inputs &amp; Summary'!$C$14*E31,MAX('Inputs &amp; Summary'!$C$13*E31,F31))</f>
        <v>280064.84160588059</v>
      </c>
      <c r="H31" s="29">
        <f>MIN(MIN(H30*(1+'Inputs &amp; Summary'!$C$15),MAX(H30*(1-'Inputs &amp; Summary'!$C$15),G31)),E31)</f>
        <v>280064.84160588059</v>
      </c>
      <c r="I31" s="30">
        <f>H31/(1+'Inputs &amp; Summary'!$C$11)^(27-1)</f>
        <v>129864.59039354672</v>
      </c>
      <c r="J31" s="31">
        <f t="shared" si="1"/>
        <v>0.06</v>
      </c>
      <c r="K31" s="28">
        <f t="shared" si="2"/>
        <v>263260.95110952778</v>
      </c>
      <c r="L31" s="28">
        <f t="shared" si="3"/>
        <v>4650943.4696016572</v>
      </c>
      <c r="M31" s="30">
        <f>L31/(1+'Inputs &amp; Summary'!$C$11)^(27-1)</f>
        <v>2156617.9644688326</v>
      </c>
      <c r="N31" s="32">
        <f>IF(B31&gt;='Inputs &amp; Summary'!$C$18,'Inputs &amp; Summary'!$C$17*VLOOKUP('Inputs &amp; Summary'!$C$18,'Inputs &amp; Summary'!$H$21:$I$29,2,FALSE)*(1+'Inputs &amp; Summary'!$C$11)^(27-1),0)</f>
        <v>64697.738026315215</v>
      </c>
      <c r="O31" s="28">
        <f t="shared" si="4"/>
        <v>344762.57963219582</v>
      </c>
      <c r="P31" s="30">
        <f>O31/(1+'Inputs &amp; Summary'!$C$11)^(27-1)</f>
        <v>159864.59039354674</v>
      </c>
    </row>
    <row r="32" spans="1:16" x14ac:dyDescent="0.35">
      <c r="A32" s="33">
        <v>28</v>
      </c>
      <c r="B32" s="33">
        <f>'Inputs &amp; Summary'!$C$7+28-1</f>
        <v>77</v>
      </c>
      <c r="C32" s="33">
        <f>IFERROR(VLOOKUP(B32,'Life Expectancy'!$A$6:$B$81,2,FALSE),1.5)</f>
        <v>12.2</v>
      </c>
      <c r="D32" s="34">
        <f>'4% Rule'!C32</f>
        <v>0.06</v>
      </c>
      <c r="E32" s="35">
        <f t="shared" si="5"/>
        <v>4650943.4696016572</v>
      </c>
      <c r="F32" s="35">
        <f t="shared" si="0"/>
        <v>381224.87455751293</v>
      </c>
      <c r="G32" s="35">
        <f>MIN('Inputs &amp; Summary'!$C$14*E32,MAX('Inputs &amp; Summary'!$C$13*E32,F32))</f>
        <v>279056.60817609943</v>
      </c>
      <c r="H32" s="36">
        <f>MIN(MIN(H31*(1+'Inputs &amp; Summary'!$C$15),MAX(H31*(1-'Inputs &amp; Summary'!$C$15),G32)),E32)</f>
        <v>279056.60817609943</v>
      </c>
      <c r="I32" s="37">
        <f>H32/(1+'Inputs &amp; Summary'!$C$11)^(28-1)</f>
        <v>125628.23093993201</v>
      </c>
      <c r="J32" s="38">
        <f t="shared" si="1"/>
        <v>0.06</v>
      </c>
      <c r="K32" s="35">
        <f t="shared" si="2"/>
        <v>262313.21168553346</v>
      </c>
      <c r="L32" s="35">
        <f t="shared" si="3"/>
        <v>4634200.0731110917</v>
      </c>
      <c r="M32" s="37">
        <f>L32/(1+'Inputs &amp; Summary'!$C$11)^(28-1)</f>
        <v>2086266.1551424712</v>
      </c>
      <c r="N32" s="39">
        <f>IF(B32&gt;='Inputs &amp; Summary'!$C$18,'Inputs &amp; Summary'!$C$17*VLOOKUP('Inputs &amp; Summary'!$C$18,'Inputs &amp; Summary'!$H$21:$I$29,2,FALSE)*(1+'Inputs &amp; Summary'!$C$11)^(28-1),0)</f>
        <v>66638.670167104661</v>
      </c>
      <c r="O32" s="35">
        <f t="shared" si="4"/>
        <v>345695.27834320406</v>
      </c>
      <c r="P32" s="37">
        <f>O32/(1+'Inputs &amp; Summary'!$C$11)^(28-1)</f>
        <v>155628.23093993199</v>
      </c>
    </row>
    <row r="33" spans="1:16" x14ac:dyDescent="0.35">
      <c r="A33" s="9">
        <v>29</v>
      </c>
      <c r="B33" s="9">
        <f>'Inputs &amp; Summary'!$C$7+29-1</f>
        <v>78</v>
      </c>
      <c r="C33" s="9">
        <f>IFERROR(VLOOKUP(B33,'Life Expectancy'!$A$6:$B$81,2,FALSE),1.5)</f>
        <v>11.6</v>
      </c>
      <c r="D33" s="27">
        <f>'4% Rule'!C33</f>
        <v>0.06</v>
      </c>
      <c r="E33" s="28">
        <f t="shared" si="5"/>
        <v>4634200.0731110917</v>
      </c>
      <c r="F33" s="28">
        <f t="shared" si="0"/>
        <v>399500.00630268035</v>
      </c>
      <c r="G33" s="28">
        <f>MIN('Inputs &amp; Summary'!$C$14*E33,MAX('Inputs &amp; Summary'!$C$13*E33,F33))</f>
        <v>278052.00438666547</v>
      </c>
      <c r="H33" s="29">
        <f>MIN(MIN(H32*(1+'Inputs &amp; Summary'!$C$15),MAX(H32*(1-'Inputs &amp; Summary'!$C$15),G33)),E33)</f>
        <v>278052.00438666547</v>
      </c>
      <c r="I33" s="30">
        <f>H33/(1+'Inputs &amp; Summary'!$C$11)^(29-1)</f>
        <v>121530.06728985268</v>
      </c>
      <c r="J33" s="31">
        <f t="shared" si="1"/>
        <v>5.9999999999999991E-2</v>
      </c>
      <c r="K33" s="28">
        <f t="shared" si="2"/>
        <v>261368.88412346557</v>
      </c>
      <c r="L33" s="28">
        <f t="shared" si="3"/>
        <v>4617516.9528478924</v>
      </c>
      <c r="M33" s="30">
        <f>L33/(1+'Inputs &amp; Summary'!$C$11)^(29-1)</f>
        <v>2018209.317460154</v>
      </c>
      <c r="N33" s="32">
        <f>IF(B33&gt;='Inputs &amp; Summary'!$C$18,'Inputs &amp; Summary'!$C$17*VLOOKUP('Inputs &amp; Summary'!$C$18,'Inputs &amp; Summary'!$H$21:$I$29,2,FALSE)*(1+'Inputs &amp; Summary'!$C$11)^(29-1),0)</f>
        <v>68637.830272117804</v>
      </c>
      <c r="O33" s="28">
        <f t="shared" si="4"/>
        <v>346689.83465878328</v>
      </c>
      <c r="P33" s="30">
        <f>O33/(1+'Inputs &amp; Summary'!$C$11)^(29-1)</f>
        <v>151530.06728985268</v>
      </c>
    </row>
    <row r="34" spans="1:16" x14ac:dyDescent="0.35">
      <c r="A34" s="33">
        <v>30</v>
      </c>
      <c r="B34" s="33">
        <f>'Inputs &amp; Summary'!$C$7+30-1</f>
        <v>79</v>
      </c>
      <c r="C34" s="33">
        <f>IFERROR(VLOOKUP(B34,'Life Expectancy'!$A$6:$B$81,2,FALSE),1.5)</f>
        <v>11</v>
      </c>
      <c r="D34" s="34">
        <f>'4% Rule'!C34</f>
        <v>0.06</v>
      </c>
      <c r="E34" s="35">
        <f t="shared" si="5"/>
        <v>4617516.9528478924</v>
      </c>
      <c r="F34" s="35">
        <f t="shared" si="0"/>
        <v>419774.26844071748</v>
      </c>
      <c r="G34" s="35">
        <f>MIN('Inputs &amp; Summary'!$C$14*E34,MAX('Inputs &amp; Summary'!$C$13*E34,F34))</f>
        <v>277051.01717087353</v>
      </c>
      <c r="H34" s="36">
        <f>MIN(MIN(H33*(1+'Inputs &amp; Summary'!$C$15),MAX(H33*(1-'Inputs &amp; Summary'!$C$15),G34)),E34)</f>
        <v>277051.01717087353</v>
      </c>
      <c r="I34" s="37">
        <f>H34/(1+'Inputs &amp; Summary'!$C$11)^(30-1)</f>
        <v>117565.59130835849</v>
      </c>
      <c r="J34" s="38">
        <f t="shared" si="1"/>
        <v>0.06</v>
      </c>
      <c r="K34" s="35">
        <f t="shared" si="2"/>
        <v>260427.95614062113</v>
      </c>
      <c r="L34" s="35">
        <f t="shared" si="3"/>
        <v>4600893.8918176405</v>
      </c>
      <c r="M34" s="37">
        <f>L34/(1+'Inputs &amp; Summary'!$C$11)^(30-1)</f>
        <v>1952372.5863274736</v>
      </c>
      <c r="N34" s="39">
        <f>IF(B34&gt;='Inputs &amp; Summary'!$C$18,'Inputs &amp; Summary'!$C$17*VLOOKUP('Inputs &amp; Summary'!$C$18,'Inputs &amp; Summary'!$H$21:$I$29,2,FALSE)*(1+'Inputs &amp; Summary'!$C$11)^(30-1),0)</f>
        <v>70696.965180281331</v>
      </c>
      <c r="O34" s="35">
        <f t="shared" si="4"/>
        <v>347747.98235115485</v>
      </c>
      <c r="P34" s="37">
        <f>O34/(1+'Inputs &amp; Summary'!$C$11)^(30-1)</f>
        <v>147565.59130835847</v>
      </c>
    </row>
    <row r="35" spans="1:16" x14ac:dyDescent="0.35">
      <c r="A35" s="9">
        <v>31</v>
      </c>
      <c r="B35" s="9">
        <f>'Inputs &amp; Summary'!$C$7+31-1</f>
        <v>80</v>
      </c>
      <c r="C35" s="9">
        <f>IFERROR(VLOOKUP(B35,'Life Expectancy'!$A$6:$B$81,2,FALSE),1.5)</f>
        <v>10.4</v>
      </c>
      <c r="D35" s="27">
        <f>'4% Rule'!C35</f>
        <v>0.06</v>
      </c>
      <c r="E35" s="28">
        <f t="shared" si="5"/>
        <v>4600893.8918176405</v>
      </c>
      <c r="F35" s="28">
        <f t="shared" si="0"/>
        <v>442393.64344400389</v>
      </c>
      <c r="G35" s="28">
        <f>MIN('Inputs &amp; Summary'!$C$14*E35,MAX('Inputs &amp; Summary'!$C$13*E35,F35))</f>
        <v>276053.63350905845</v>
      </c>
      <c r="H35" s="29">
        <f>MIN(MIN(H34*(1+'Inputs &amp; Summary'!$C$15),MAX(H34*(1-'Inputs &amp; Summary'!$C$15),G35)),E35)</f>
        <v>276053.63350905845</v>
      </c>
      <c r="I35" s="30">
        <f>H35/(1+'Inputs &amp; Summary'!$C$11)^(31-1)</f>
        <v>113730.44192198876</v>
      </c>
      <c r="J35" s="31">
        <f t="shared" si="1"/>
        <v>6.0000000000000005E-2</v>
      </c>
      <c r="K35" s="28">
        <f t="shared" si="2"/>
        <v>259490.41549851492</v>
      </c>
      <c r="L35" s="28">
        <f t="shared" si="3"/>
        <v>4584330.6738070967</v>
      </c>
      <c r="M35" s="30">
        <f>L35/(1+'Inputs &amp; Summary'!$C$11)^(31-1)</f>
        <v>1888683.5388511599</v>
      </c>
      <c r="N35" s="32">
        <f>IF(B35&gt;='Inputs &amp; Summary'!$C$18,'Inputs &amp; Summary'!$C$17*VLOOKUP('Inputs &amp; Summary'!$C$18,'Inputs &amp; Summary'!$H$21:$I$29,2,FALSE)*(1+'Inputs &amp; Summary'!$C$11)^(31-1),0)</f>
        <v>72817.874135689766</v>
      </c>
      <c r="O35" s="28">
        <f t="shared" si="4"/>
        <v>348871.5076447482</v>
      </c>
      <c r="P35" s="30">
        <f>O35/(1+'Inputs &amp; Summary'!$C$11)^(31-1)</f>
        <v>143730.44192198876</v>
      </c>
    </row>
    <row r="36" spans="1:16" x14ac:dyDescent="0.35">
      <c r="A36" s="33">
        <v>32</v>
      </c>
      <c r="B36" s="33">
        <f>'Inputs &amp; Summary'!$C$7+32-1</f>
        <v>81</v>
      </c>
      <c r="C36" s="33">
        <f>IFERROR(VLOOKUP(B36,'Life Expectancy'!$A$6:$B$81,2,FALSE),1.5)</f>
        <v>9.9</v>
      </c>
      <c r="D36" s="34">
        <f>'4% Rule'!C36</f>
        <v>0.06</v>
      </c>
      <c r="E36" s="35">
        <f t="shared" si="5"/>
        <v>4584330.6738070967</v>
      </c>
      <c r="F36" s="35">
        <f t="shared" si="0"/>
        <v>463063.70442495926</v>
      </c>
      <c r="G36" s="35">
        <f>MIN('Inputs &amp; Summary'!$C$14*E36,MAX('Inputs &amp; Summary'!$C$13*E36,F36))</f>
        <v>275059.84042842581</v>
      </c>
      <c r="H36" s="36">
        <f>MIN(MIN(H35*(1+'Inputs &amp; Summary'!$C$15),MAX(H35*(1-'Inputs &amp; Summary'!$C$15),G36)),E36)</f>
        <v>275059.84042842581</v>
      </c>
      <c r="I36" s="37">
        <f>H36/(1+'Inputs &amp; Summary'!$C$11)^(32-1)</f>
        <v>110020.40032142677</v>
      </c>
      <c r="J36" s="38">
        <f t="shared" si="1"/>
        <v>6.0000000000000005E-2</v>
      </c>
      <c r="K36" s="35">
        <f t="shared" si="2"/>
        <v>258556.25000272025</v>
      </c>
      <c r="L36" s="35">
        <f t="shared" si="3"/>
        <v>4567827.0833813911</v>
      </c>
      <c r="M36" s="37">
        <f>L36/(1+'Inputs &amp; Summary'!$C$11)^(32-1)</f>
        <v>1827072.1146711605</v>
      </c>
      <c r="N36" s="39">
        <f>IF(B36&gt;='Inputs &amp; Summary'!$C$18,'Inputs &amp; Summary'!$C$17*VLOOKUP('Inputs &amp; Summary'!$C$18,'Inputs &amp; Summary'!$H$21:$I$29,2,FALSE)*(1+'Inputs &amp; Summary'!$C$11)^(32-1),0)</f>
        <v>75002.410359760484</v>
      </c>
      <c r="O36" s="35">
        <f t="shared" si="4"/>
        <v>350062.25078818633</v>
      </c>
      <c r="P36" s="37">
        <f>O36/(1+'Inputs &amp; Summary'!$C$11)^(32-1)</f>
        <v>140020.40032142677</v>
      </c>
    </row>
    <row r="37" spans="1:16" x14ac:dyDescent="0.35">
      <c r="A37" s="9">
        <v>33</v>
      </c>
      <c r="B37" s="9">
        <f>'Inputs &amp; Summary'!$C$7+33-1</f>
        <v>82</v>
      </c>
      <c r="C37" s="9">
        <f>IFERROR(VLOOKUP(B37,'Life Expectancy'!$A$6:$B$81,2,FALSE),1.5)</f>
        <v>9.4</v>
      </c>
      <c r="D37" s="27">
        <f>'4% Rule'!C37</f>
        <v>0.06</v>
      </c>
      <c r="E37" s="28">
        <f t="shared" si="5"/>
        <v>4567827.0833813911</v>
      </c>
      <c r="F37" s="28">
        <f t="shared" si="0"/>
        <v>485939.05142355221</v>
      </c>
      <c r="G37" s="28">
        <f>MIN('Inputs &amp; Summary'!$C$14*E37,MAX('Inputs &amp; Summary'!$C$13*E37,F37))</f>
        <v>274069.62500288343</v>
      </c>
      <c r="H37" s="29">
        <f>MIN(MIN(H36*(1+'Inputs &amp; Summary'!$C$15),MAX(H36*(1-'Inputs &amp; Summary'!$C$15),G37)),E37)</f>
        <v>274069.62500288343</v>
      </c>
      <c r="I37" s="30">
        <f>H37/(1+'Inputs &amp; Summary'!$C$11)^(33-1)</f>
        <v>106431.38532065014</v>
      </c>
      <c r="J37" s="31">
        <f t="shared" si="1"/>
        <v>5.9999999999999991E-2</v>
      </c>
      <c r="K37" s="28">
        <f t="shared" si="2"/>
        <v>257625.44750271045</v>
      </c>
      <c r="L37" s="28">
        <f t="shared" si="3"/>
        <v>4551382.9058812186</v>
      </c>
      <c r="M37" s="30">
        <f>L37/(1+'Inputs &amp; Summary'!$C$11)^(33-1)</f>
        <v>1767470.538891597</v>
      </c>
      <c r="N37" s="32">
        <f>IF(B37&gt;='Inputs &amp; Summary'!$C$18,'Inputs &amp; Summary'!$C$17*VLOOKUP('Inputs &amp; Summary'!$C$18,'Inputs &amp; Summary'!$H$21:$I$29,2,FALSE)*(1+'Inputs &amp; Summary'!$C$11)^(33-1),0)</f>
        <v>77252.482670553276</v>
      </c>
      <c r="O37" s="28">
        <f t="shared" si="4"/>
        <v>351322.10767343669</v>
      </c>
      <c r="P37" s="30">
        <f>O37/(1+'Inputs &amp; Summary'!$C$11)^(33-1)</f>
        <v>136431.38532065012</v>
      </c>
    </row>
    <row r="38" spans="1:16" x14ac:dyDescent="0.35">
      <c r="A38" s="33">
        <v>34</v>
      </c>
      <c r="B38" s="33">
        <f>'Inputs &amp; Summary'!$C$7+34-1</f>
        <v>83</v>
      </c>
      <c r="C38" s="33">
        <f>IFERROR(VLOOKUP(B38,'Life Expectancy'!$A$6:$B$81,2,FALSE),1.5)</f>
        <v>8.8000000000000007</v>
      </c>
      <c r="D38" s="34">
        <f>'4% Rule'!C38</f>
        <v>0.06</v>
      </c>
      <c r="E38" s="35">
        <f t="shared" si="5"/>
        <v>4551382.9058812186</v>
      </c>
      <c r="F38" s="35">
        <f t="shared" si="0"/>
        <v>517202.60294104752</v>
      </c>
      <c r="G38" s="35">
        <f>MIN('Inputs &amp; Summary'!$C$14*E38,MAX('Inputs &amp; Summary'!$C$13*E38,F38))</f>
        <v>273082.97435287311</v>
      </c>
      <c r="H38" s="36">
        <f>MIN(MIN(H37*(1+'Inputs &amp; Summary'!$C$15),MAX(H37*(1-'Inputs &amp; Summary'!$C$15),G38)),E38)</f>
        <v>273082.97435287311</v>
      </c>
      <c r="I38" s="37">
        <f>H38/(1+'Inputs &amp; Summary'!$C$11)^(34-1)</f>
        <v>102959.44886747166</v>
      </c>
      <c r="J38" s="38">
        <f t="shared" si="1"/>
        <v>0.06</v>
      </c>
      <c r="K38" s="35">
        <f t="shared" si="2"/>
        <v>256697.99589170073</v>
      </c>
      <c r="L38" s="35">
        <f t="shared" si="3"/>
        <v>4534997.9274200462</v>
      </c>
      <c r="M38" s="37">
        <f>L38/(1+'Inputs &amp; Summary'!$C$11)^(34-1)</f>
        <v>1709813.2475258128</v>
      </c>
      <c r="N38" s="39">
        <f>IF(B38&gt;='Inputs &amp; Summary'!$C$18,'Inputs &amp; Summary'!$C$17*VLOOKUP('Inputs &amp; Summary'!$C$18,'Inputs &amp; Summary'!$H$21:$I$29,2,FALSE)*(1+'Inputs &amp; Summary'!$C$11)^(34-1),0)</f>
        <v>79570.057150669876</v>
      </c>
      <c r="O38" s="35">
        <f t="shared" si="4"/>
        <v>352653.03150354297</v>
      </c>
      <c r="P38" s="37">
        <f>O38/(1+'Inputs &amp; Summary'!$C$11)^(34-1)</f>
        <v>132959.44886747166</v>
      </c>
    </row>
    <row r="39" spans="1:16" x14ac:dyDescent="0.35">
      <c r="A39" s="9">
        <v>35</v>
      </c>
      <c r="B39" s="9">
        <f>'Inputs &amp; Summary'!$C$7+35-1</f>
        <v>84</v>
      </c>
      <c r="C39" s="9">
        <f>IFERROR(VLOOKUP(B39,'Life Expectancy'!$A$6:$B$81,2,FALSE),1.5)</f>
        <v>8.3000000000000007</v>
      </c>
      <c r="D39" s="27">
        <f>'4% Rule'!C39</f>
        <v>0.06</v>
      </c>
      <c r="E39" s="28">
        <f t="shared" si="5"/>
        <v>4534997.9274200462</v>
      </c>
      <c r="F39" s="28">
        <f t="shared" si="0"/>
        <v>546385.29246024648</v>
      </c>
      <c r="G39" s="28">
        <f>MIN('Inputs &amp; Summary'!$C$14*E39,MAX('Inputs &amp; Summary'!$C$13*E39,F39))</f>
        <v>272099.87564520276</v>
      </c>
      <c r="H39" s="29">
        <f>MIN(MIN(H38*(1+'Inputs &amp; Summary'!$C$15),MAX(H38*(1-'Inputs &amp; Summary'!$C$15),G39)),E39)</f>
        <v>272099.87564520276</v>
      </c>
      <c r="I39" s="30">
        <f>H39/(1+'Inputs &amp; Summary'!$C$11)^(35-1)</f>
        <v>99600.771700532787</v>
      </c>
      <c r="J39" s="31">
        <f t="shared" si="1"/>
        <v>0.06</v>
      </c>
      <c r="K39" s="28">
        <f t="shared" si="2"/>
        <v>255773.8831064906</v>
      </c>
      <c r="L39" s="28">
        <f t="shared" si="3"/>
        <v>4518671.9348813342</v>
      </c>
      <c r="M39" s="30">
        <f>L39/(1+'Inputs &amp; Summary'!$C$11)^(35-1)</f>
        <v>1654036.8153735148</v>
      </c>
      <c r="N39" s="32">
        <f>IF(B39&gt;='Inputs &amp; Summary'!$C$18,'Inputs &amp; Summary'!$C$17*VLOOKUP('Inputs &amp; Summary'!$C$18,'Inputs &amp; Summary'!$H$21:$I$29,2,FALSE)*(1+'Inputs &amp; Summary'!$C$11)^(35-1),0)</f>
        <v>81957.158865189966</v>
      </c>
      <c r="O39" s="28">
        <f t="shared" si="4"/>
        <v>354057.0345103927</v>
      </c>
      <c r="P39" s="30">
        <f>O39/(1+'Inputs &amp; Summary'!$C$11)^(35-1)</f>
        <v>129600.77170053279</v>
      </c>
    </row>
    <row r="40" spans="1:16" x14ac:dyDescent="0.35">
      <c r="A40" s="33">
        <v>36</v>
      </c>
      <c r="B40" s="33">
        <f>'Inputs &amp; Summary'!$C$7+36-1</f>
        <v>85</v>
      </c>
      <c r="C40" s="33">
        <f>IFERROR(VLOOKUP(B40,'Life Expectancy'!$A$6:$B$81,2,FALSE),1.5)</f>
        <v>7.8</v>
      </c>
      <c r="D40" s="34">
        <f>'4% Rule'!C40</f>
        <v>0.06</v>
      </c>
      <c r="E40" s="35">
        <f t="shared" si="5"/>
        <v>4518671.9348813342</v>
      </c>
      <c r="F40" s="35">
        <f t="shared" si="0"/>
        <v>579316.9147283762</v>
      </c>
      <c r="G40" s="35">
        <f>MIN('Inputs &amp; Summary'!$C$14*E40,MAX('Inputs &amp; Summary'!$C$13*E40,F40))</f>
        <v>271120.31609288004</v>
      </c>
      <c r="H40" s="36">
        <f>MIN(MIN(H39*(1+'Inputs &amp; Summary'!$C$15),MAX(H39*(1-'Inputs &amp; Summary'!$C$15),G40)),E40)</f>
        <v>271120.31609288004</v>
      </c>
      <c r="I40" s="37">
        <f>H40/(1+'Inputs &amp; Summary'!$C$11)^(36-1)</f>
        <v>96351.659147971717</v>
      </c>
      <c r="J40" s="38">
        <f t="shared" si="1"/>
        <v>0.06</v>
      </c>
      <c r="K40" s="35">
        <f t="shared" si="2"/>
        <v>254853.09712730721</v>
      </c>
      <c r="L40" s="35">
        <f t="shared" si="3"/>
        <v>4502404.715915761</v>
      </c>
      <c r="M40" s="37">
        <f>L40/(1+'Inputs &amp; Summary'!$C$11)^(36-1)</f>
        <v>1600079.88625065</v>
      </c>
      <c r="N40" s="39">
        <f>IF(B40&gt;='Inputs &amp; Summary'!$C$18,'Inputs &amp; Summary'!$C$17*VLOOKUP('Inputs &amp; Summary'!$C$18,'Inputs &amp; Summary'!$H$21:$I$29,2,FALSE)*(1+'Inputs &amp; Summary'!$C$11)^(36-1),0)</f>
        <v>84415.873631145674</v>
      </c>
      <c r="O40" s="35">
        <f t="shared" si="4"/>
        <v>355536.18972402572</v>
      </c>
      <c r="P40" s="37">
        <f>O40/(1+'Inputs &amp; Summary'!$C$11)^(36-1)</f>
        <v>126351.65914797172</v>
      </c>
    </row>
    <row r="41" spans="1:16" x14ac:dyDescent="0.35">
      <c r="A41" s="9">
        <v>37</v>
      </c>
      <c r="B41" s="9">
        <f>'Inputs &amp; Summary'!$C$7+37-1</f>
        <v>86</v>
      </c>
      <c r="C41" s="9">
        <f>IFERROR(VLOOKUP(B41,'Life Expectancy'!$A$6:$B$81,2,FALSE),1.5)</f>
        <v>7.4</v>
      </c>
      <c r="D41" s="27">
        <f>'4% Rule'!C41</f>
        <v>0.06</v>
      </c>
      <c r="E41" s="28">
        <f t="shared" si="5"/>
        <v>4502404.715915761</v>
      </c>
      <c r="F41" s="28">
        <f t="shared" si="0"/>
        <v>608433.069718346</v>
      </c>
      <c r="G41" s="28">
        <f>MIN('Inputs &amp; Summary'!$C$14*E41,MAX('Inputs &amp; Summary'!$C$13*E41,F41))</f>
        <v>270144.28295494564</v>
      </c>
      <c r="H41" s="29">
        <f>MIN(MIN(H40*(1+'Inputs &amp; Summary'!$C$15),MAX(H40*(1-'Inputs &amp; Summary'!$C$15),G41)),E41)</f>
        <v>270144.28295494564</v>
      </c>
      <c r="I41" s="30">
        <f>H41/(1+'Inputs &amp; Summary'!$C$11)^(37-1)</f>
        <v>93208.537063144671</v>
      </c>
      <c r="J41" s="31">
        <f t="shared" si="1"/>
        <v>0.06</v>
      </c>
      <c r="K41" s="28">
        <f t="shared" si="2"/>
        <v>253935.62597764895</v>
      </c>
      <c r="L41" s="28">
        <f t="shared" si="3"/>
        <v>4486196.0589384651</v>
      </c>
      <c r="M41" s="30">
        <f>L41/(1+'Inputs &amp; Summary'!$C$11)^(37-1)</f>
        <v>1547883.1054952894</v>
      </c>
      <c r="N41" s="32">
        <f>IF(B41&gt;='Inputs &amp; Summary'!$C$18,'Inputs &amp; Summary'!$C$17*VLOOKUP('Inputs &amp; Summary'!$C$18,'Inputs &amp; Summary'!$H$21:$I$29,2,FALSE)*(1+'Inputs &amp; Summary'!$C$11)^(37-1),0)</f>
        <v>86948.349840080045</v>
      </c>
      <c r="O41" s="28">
        <f t="shared" si="4"/>
        <v>357092.63279502571</v>
      </c>
      <c r="P41" s="30">
        <f>O41/(1+'Inputs &amp; Summary'!$C$11)^(37-1)</f>
        <v>123208.53706314467</v>
      </c>
    </row>
    <row r="42" spans="1:16" x14ac:dyDescent="0.35">
      <c r="A42" s="33">
        <v>38</v>
      </c>
      <c r="B42" s="33">
        <f>'Inputs &amp; Summary'!$C$7+38-1</f>
        <v>87</v>
      </c>
      <c r="C42" s="33">
        <f>IFERROR(VLOOKUP(B42,'Life Expectancy'!$A$6:$B$81,2,FALSE),1.5)</f>
        <v>6.9</v>
      </c>
      <c r="D42" s="34">
        <f>'4% Rule'!C42</f>
        <v>0.06</v>
      </c>
      <c r="E42" s="35">
        <f t="shared" si="5"/>
        <v>4486196.0589384651</v>
      </c>
      <c r="F42" s="35">
        <f t="shared" si="0"/>
        <v>650173.34187513986</v>
      </c>
      <c r="G42" s="35">
        <f>MIN('Inputs &amp; Summary'!$C$14*E42,MAX('Inputs &amp; Summary'!$C$13*E42,F42))</f>
        <v>269171.7635363079</v>
      </c>
      <c r="H42" s="36">
        <f>MIN(MIN(H41*(1+'Inputs &amp; Summary'!$C$15),MAX(H41*(1-'Inputs &amp; Summary'!$C$15),G42)),E42)</f>
        <v>269171.7635363079</v>
      </c>
      <c r="I42" s="37">
        <f>H42/(1+'Inputs &amp; Summary'!$C$11)^(38-1)</f>
        <v>90167.9478929295</v>
      </c>
      <c r="J42" s="38">
        <f t="shared" si="1"/>
        <v>0.06</v>
      </c>
      <c r="K42" s="35">
        <f t="shared" si="2"/>
        <v>253021.45772412943</v>
      </c>
      <c r="L42" s="35">
        <f t="shared" si="3"/>
        <v>4470045.7531262869</v>
      </c>
      <c r="M42" s="37">
        <f>L42/(1+'Inputs &amp; Summary'!$C$11)^(38-1)</f>
        <v>1497389.0546752494</v>
      </c>
      <c r="N42" s="39">
        <f>IF(B42&gt;='Inputs &amp; Summary'!$C$18,'Inputs &amp; Summary'!$C$17*VLOOKUP('Inputs &amp; Summary'!$C$18,'Inputs &amp; Summary'!$H$21:$I$29,2,FALSE)*(1+'Inputs &amp; Summary'!$C$11)^(38-1),0)</f>
        <v>89556.800335282431</v>
      </c>
      <c r="O42" s="35">
        <f t="shared" si="4"/>
        <v>358728.5638715903</v>
      </c>
      <c r="P42" s="37">
        <f>O42/(1+'Inputs &amp; Summary'!$C$11)^(38-1)</f>
        <v>120167.94789292949</v>
      </c>
    </row>
    <row r="43" spans="1:16" x14ac:dyDescent="0.35">
      <c r="A43" s="9">
        <v>39</v>
      </c>
      <c r="B43" s="9">
        <f>'Inputs &amp; Summary'!$C$7+39-1</f>
        <v>88</v>
      </c>
      <c r="C43" s="9">
        <f>IFERROR(VLOOKUP(B43,'Life Expectancy'!$A$6:$B$81,2,FALSE),1.5)</f>
        <v>6.5</v>
      </c>
      <c r="D43" s="27">
        <f>'4% Rule'!C43</f>
        <v>0.06</v>
      </c>
      <c r="E43" s="28">
        <f t="shared" si="5"/>
        <v>4470045.7531262869</v>
      </c>
      <c r="F43" s="28">
        <f t="shared" si="0"/>
        <v>687699.34663481335</v>
      </c>
      <c r="G43" s="28">
        <f>MIN('Inputs &amp; Summary'!$C$14*E43,MAX('Inputs &amp; Summary'!$C$13*E43,F43))</f>
        <v>268202.74518757721</v>
      </c>
      <c r="H43" s="29">
        <f>MIN(MIN(H42*(1+'Inputs &amp; Summary'!$C$15),MAX(H42*(1-'Inputs &amp; Summary'!$C$15),G43)),E43)</f>
        <v>268202.74518757721</v>
      </c>
      <c r="I43" s="30">
        <f>H43/(1+'Inputs &amp; Summary'!$C$11)^(39-1)</f>
        <v>87226.54687428636</v>
      </c>
      <c r="J43" s="31">
        <f t="shared" si="1"/>
        <v>0.06</v>
      </c>
      <c r="K43" s="28">
        <f t="shared" si="2"/>
        <v>252110.58047632259</v>
      </c>
      <c r="L43" s="28">
        <f t="shared" si="3"/>
        <v>4453953.5884150323</v>
      </c>
      <c r="M43" s="30">
        <f>L43/(1+'Inputs &amp; Summary'!$C$11)^(39-1)</f>
        <v>1448542.188425649</v>
      </c>
      <c r="N43" s="32">
        <f>IF(B43&gt;='Inputs &amp; Summary'!$C$18,'Inputs &amp; Summary'!$C$17*VLOOKUP('Inputs &amp; Summary'!$C$18,'Inputs &amp; Summary'!$H$21:$I$29,2,FALSE)*(1+'Inputs &amp; Summary'!$C$11)^(39-1),0)</f>
        <v>92243.504345340902</v>
      </c>
      <c r="O43" s="28">
        <f t="shared" si="4"/>
        <v>360446.2495329181</v>
      </c>
      <c r="P43" s="30">
        <f>O43/(1+'Inputs &amp; Summary'!$C$11)^(39-1)</f>
        <v>117226.54687428636</v>
      </c>
    </row>
    <row r="44" spans="1:16" x14ac:dyDescent="0.35">
      <c r="A44" s="33">
        <v>40</v>
      </c>
      <c r="B44" s="33">
        <f>'Inputs &amp; Summary'!$C$7+40-1</f>
        <v>89</v>
      </c>
      <c r="C44" s="33">
        <f>IFERROR(VLOOKUP(B44,'Life Expectancy'!$A$6:$B$81,2,FALSE),1.5)</f>
        <v>6</v>
      </c>
      <c r="D44" s="34">
        <f>'4% Rule'!C44</f>
        <v>0.06</v>
      </c>
      <c r="E44" s="35">
        <f t="shared" si="5"/>
        <v>4453953.5884150323</v>
      </c>
      <c r="F44" s="35">
        <f t="shared" si="0"/>
        <v>742325.598069172</v>
      </c>
      <c r="G44" s="35">
        <f>MIN('Inputs &amp; Summary'!$C$14*E44,MAX('Inputs &amp; Summary'!$C$13*E44,F44))</f>
        <v>267237.21530490194</v>
      </c>
      <c r="H44" s="36">
        <f>MIN(MIN(H43*(1+'Inputs &amp; Summary'!$C$15),MAX(H43*(1-'Inputs &amp; Summary'!$C$15),G44)),E44)</f>
        <v>267237.21530490194</v>
      </c>
      <c r="I44" s="37">
        <f>H44/(1+'Inputs &amp; Summary'!$C$11)^(40-1)</f>
        <v>84381.098354892165</v>
      </c>
      <c r="J44" s="38">
        <f t="shared" si="1"/>
        <v>0.06</v>
      </c>
      <c r="K44" s="35">
        <f t="shared" si="2"/>
        <v>251202.98238660782</v>
      </c>
      <c r="L44" s="35">
        <f t="shared" si="3"/>
        <v>4437919.3554967381</v>
      </c>
      <c r="M44" s="37">
        <f>L44/(1+'Inputs &amp; Summary'!$C$11)^(40-1)</f>
        <v>1401288.7733469091</v>
      </c>
      <c r="N44" s="39">
        <f>IF(B44&gt;='Inputs &amp; Summary'!$C$18,'Inputs &amp; Summary'!$C$17*VLOOKUP('Inputs &amp; Summary'!$C$18,'Inputs &amp; Summary'!$H$21:$I$29,2,FALSE)*(1+'Inputs &amp; Summary'!$C$11)^(40-1),0)</f>
        <v>95010.809475701142</v>
      </c>
      <c r="O44" s="35">
        <f t="shared" si="4"/>
        <v>362248.02478060307</v>
      </c>
      <c r="P44" s="37">
        <f>O44/(1+'Inputs &amp; Summary'!$C$11)^(40-1)</f>
        <v>114381.09835489215</v>
      </c>
    </row>
    <row r="45" spans="1:16" x14ac:dyDescent="0.35">
      <c r="A45" s="9">
        <v>41</v>
      </c>
      <c r="B45" s="9">
        <f>'Inputs &amp; Summary'!$C$7+41-1</f>
        <v>90</v>
      </c>
      <c r="C45" s="9">
        <f>IFERROR(VLOOKUP(B45,'Life Expectancy'!$A$6:$B$81,2,FALSE),1.5)</f>
        <v>5.6</v>
      </c>
      <c r="D45" s="27">
        <f>'4% Rule'!C45</f>
        <v>0.06</v>
      </c>
      <c r="E45" s="28">
        <f t="shared" si="5"/>
        <v>4437919.3554967381</v>
      </c>
      <c r="F45" s="28">
        <f t="shared" si="0"/>
        <v>792485.59919584612</v>
      </c>
      <c r="G45" s="28">
        <f>MIN('Inputs &amp; Summary'!$C$14*E45,MAX('Inputs &amp; Summary'!$C$13*E45,F45))</f>
        <v>266275.16132980428</v>
      </c>
      <c r="H45" s="29">
        <f>MIN(MIN(H44*(1+'Inputs &amp; Summary'!$C$15),MAX(H44*(1-'Inputs &amp; Summary'!$C$15),G45)),E45)</f>
        <v>266275.16132980428</v>
      </c>
      <c r="I45" s="30">
        <f>H45/(1+'Inputs &amp; Summary'!$C$11)^(41-1)</f>
        <v>81628.472233800538</v>
      </c>
      <c r="J45" s="31">
        <f t="shared" si="1"/>
        <v>0.06</v>
      </c>
      <c r="K45" s="28">
        <f t="shared" si="2"/>
        <v>250298.65165001602</v>
      </c>
      <c r="L45" s="28">
        <f t="shared" si="3"/>
        <v>4421942.8458169494</v>
      </c>
      <c r="M45" s="30">
        <f>L45/(1+'Inputs &amp; Summary'!$C$11)^(41-1)</f>
        <v>1355576.828895981</v>
      </c>
      <c r="N45" s="32">
        <f>IF(B45&gt;='Inputs &amp; Summary'!$C$18,'Inputs &amp; Summary'!$C$17*VLOOKUP('Inputs &amp; Summary'!$C$18,'Inputs &amp; Summary'!$H$21:$I$29,2,FALSE)*(1+'Inputs &amp; Summary'!$C$11)^(41-1),0)</f>
        <v>97861.133759972159</v>
      </c>
      <c r="O45" s="28">
        <f t="shared" si="4"/>
        <v>364136.29508977645</v>
      </c>
      <c r="P45" s="30">
        <f>O45/(1+'Inputs &amp; Summary'!$C$11)^(41-1)</f>
        <v>111628.47223380055</v>
      </c>
    </row>
    <row r="46" spans="1:16" x14ac:dyDescent="0.35">
      <c r="A46" s="33">
        <v>42</v>
      </c>
      <c r="B46" s="33">
        <f>'Inputs &amp; Summary'!$C$7+42-1</f>
        <v>91</v>
      </c>
      <c r="C46" s="33">
        <f>IFERROR(VLOOKUP(B46,'Life Expectancy'!$A$6:$B$81,2,FALSE),1.5)</f>
        <v>5.3</v>
      </c>
      <c r="D46" s="34">
        <f>'4% Rule'!C46</f>
        <v>0.06</v>
      </c>
      <c r="E46" s="35">
        <f t="shared" si="5"/>
        <v>4421942.8458169494</v>
      </c>
      <c r="F46" s="35">
        <f t="shared" si="0"/>
        <v>834328.83883338666</v>
      </c>
      <c r="G46" s="35">
        <f>MIN('Inputs &amp; Summary'!$C$14*E46,MAX('Inputs &amp; Summary'!$C$13*E46,F46))</f>
        <v>265316.57074901694</v>
      </c>
      <c r="H46" s="36">
        <f>MIN(MIN(H45*(1+'Inputs &amp; Summary'!$C$15),MAX(H45*(1-'Inputs &amp; Summary'!$C$15),G46)),E46)</f>
        <v>265316.57074901694</v>
      </c>
      <c r="I46" s="37">
        <f>H46/(1+'Inputs &amp; Summary'!$C$11)^(42-1)</f>
        <v>78965.640518212473</v>
      </c>
      <c r="J46" s="38">
        <f t="shared" si="1"/>
        <v>0.06</v>
      </c>
      <c r="K46" s="35">
        <f t="shared" si="2"/>
        <v>249397.57650407593</v>
      </c>
      <c r="L46" s="35">
        <f t="shared" si="3"/>
        <v>4406023.8515720088</v>
      </c>
      <c r="M46" s="37">
        <f>L46/(1+'Inputs &amp; Summary'!$C$11)^(42-1)</f>
        <v>1311356.0702057821</v>
      </c>
      <c r="N46" s="39">
        <f>IF(B46&gt;='Inputs &amp; Summary'!$C$18,'Inputs &amp; Summary'!$C$17*VLOOKUP('Inputs &amp; Summary'!$C$18,'Inputs &amp; Summary'!$H$21:$I$29,2,FALSE)*(1+'Inputs &amp; Summary'!$C$11)^(42-1),0)</f>
        <v>100796.96777277133</v>
      </c>
      <c r="O46" s="35">
        <f t="shared" si="4"/>
        <v>366113.53852178826</v>
      </c>
      <c r="P46" s="37">
        <f>O46/(1+'Inputs &amp; Summary'!$C$11)^(42-1)</f>
        <v>108965.64051821246</v>
      </c>
    </row>
    <row r="47" spans="1:16" x14ac:dyDescent="0.35">
      <c r="A47" s="9">
        <v>43</v>
      </c>
      <c r="B47" s="9">
        <f>'Inputs &amp; Summary'!$C$7+43-1</f>
        <v>92</v>
      </c>
      <c r="C47" s="9">
        <f>IFERROR(VLOOKUP(B47,'Life Expectancy'!$A$6:$B$81,2,FALSE),1.5)</f>
        <v>4.9000000000000004</v>
      </c>
      <c r="D47" s="27">
        <f>'4% Rule'!C47</f>
        <v>0.06</v>
      </c>
      <c r="E47" s="28">
        <f t="shared" si="5"/>
        <v>4406023.8515720088</v>
      </c>
      <c r="F47" s="28">
        <f t="shared" si="0"/>
        <v>899188.54113714455</v>
      </c>
      <c r="G47" s="28">
        <f>MIN('Inputs &amp; Summary'!$C$14*E47,MAX('Inputs &amp; Summary'!$C$13*E47,F47))</f>
        <v>264361.43109432049</v>
      </c>
      <c r="H47" s="29">
        <f>MIN(MIN(H46*(1+'Inputs &amp; Summary'!$C$15),MAX(H46*(1-'Inputs &amp; Summary'!$C$15),G47)),E47)</f>
        <v>264361.43109432049</v>
      </c>
      <c r="I47" s="30">
        <f>H47/(1+'Inputs &amp; Summary'!$C$11)^(43-1)</f>
        <v>76389.673992569806</v>
      </c>
      <c r="J47" s="31">
        <f t="shared" si="1"/>
        <v>5.9999999999999991E-2</v>
      </c>
      <c r="K47" s="28">
        <f t="shared" si="2"/>
        <v>248499.74522866128</v>
      </c>
      <c r="L47" s="28">
        <f t="shared" si="3"/>
        <v>4390162.1657063495</v>
      </c>
      <c r="M47" s="30">
        <f>L47/(1+'Inputs &amp; Summary'!$C$11)^(43-1)</f>
        <v>1268577.8527699427</v>
      </c>
      <c r="N47" s="32">
        <f>IF(B47&gt;='Inputs &amp; Summary'!$C$18,'Inputs &amp; Summary'!$C$17*VLOOKUP('Inputs &amp; Summary'!$C$18,'Inputs &amp; Summary'!$H$21:$I$29,2,FALSE)*(1+'Inputs &amp; Summary'!$C$11)^(43-1),0)</f>
        <v>103820.87680595448</v>
      </c>
      <c r="O47" s="28">
        <f t="shared" si="4"/>
        <v>368182.30790027499</v>
      </c>
      <c r="P47" s="30">
        <f>O47/(1+'Inputs &amp; Summary'!$C$11)^(43-1)</f>
        <v>106389.67399256981</v>
      </c>
    </row>
    <row r="48" spans="1:16" x14ac:dyDescent="0.35">
      <c r="A48" s="33">
        <v>44</v>
      </c>
      <c r="B48" s="33">
        <f>'Inputs &amp; Summary'!$C$7+44-1</f>
        <v>93</v>
      </c>
      <c r="C48" s="33">
        <f>IFERROR(VLOOKUP(B48,'Life Expectancy'!$A$6:$B$81,2,FALSE),1.5)</f>
        <v>4.5999999999999996</v>
      </c>
      <c r="D48" s="34">
        <f>'4% Rule'!C48</f>
        <v>0.06</v>
      </c>
      <c r="E48" s="35">
        <f t="shared" si="5"/>
        <v>4390162.1657063495</v>
      </c>
      <c r="F48" s="35">
        <f t="shared" si="0"/>
        <v>954383.07950138045</v>
      </c>
      <c r="G48" s="35">
        <f>MIN('Inputs &amp; Summary'!$C$14*E48,MAX('Inputs &amp; Summary'!$C$13*E48,F48))</f>
        <v>263409.72994238097</v>
      </c>
      <c r="H48" s="36">
        <f>MIN(MIN(H47*(1+'Inputs &amp; Summary'!$C$15),MAX(H47*(1-'Inputs &amp; Summary'!$C$15),G48)),E48)</f>
        <v>263409.72994238097</v>
      </c>
      <c r="I48" s="37">
        <f>H48/(1+'Inputs &amp; Summary'!$C$11)^(44-1)</f>
        <v>73897.738996307351</v>
      </c>
      <c r="J48" s="38">
        <f t="shared" si="1"/>
        <v>0.06</v>
      </c>
      <c r="K48" s="35">
        <f t="shared" si="2"/>
        <v>247605.14614583811</v>
      </c>
      <c r="L48" s="35">
        <f t="shared" si="3"/>
        <v>4374357.5819098065</v>
      </c>
      <c r="M48" s="37">
        <f>L48/(1+'Inputs &amp; Summary'!$C$11)^(44-1)</f>
        <v>1227195.1189320106</v>
      </c>
      <c r="N48" s="39">
        <f>IF(B48&gt;='Inputs &amp; Summary'!$C$18,'Inputs &amp; Summary'!$C$17*VLOOKUP('Inputs &amp; Summary'!$C$18,'Inputs &amp; Summary'!$H$21:$I$29,2,FALSE)*(1+'Inputs &amp; Summary'!$C$11)^(44-1),0)</f>
        <v>106935.50311013311</v>
      </c>
      <c r="O48" s="35">
        <f t="shared" si="4"/>
        <v>370345.23305251409</v>
      </c>
      <c r="P48" s="37">
        <f>O48/(1+'Inputs &amp; Summary'!$C$11)^(44-1)</f>
        <v>103897.73899630735</v>
      </c>
    </row>
    <row r="49" spans="1:16" x14ac:dyDescent="0.35">
      <c r="A49" s="9">
        <v>45</v>
      </c>
      <c r="B49" s="9">
        <f>'Inputs &amp; Summary'!$C$7+45-1</f>
        <v>94</v>
      </c>
      <c r="C49" s="9">
        <f>IFERROR(VLOOKUP(B49,'Life Expectancy'!$A$6:$B$81,2,FALSE),1.5)</f>
        <v>4.2</v>
      </c>
      <c r="D49" s="27">
        <f>'4% Rule'!C49</f>
        <v>0.06</v>
      </c>
      <c r="E49" s="28">
        <f t="shared" si="5"/>
        <v>4374357.5819098065</v>
      </c>
      <c r="F49" s="28">
        <f t="shared" si="0"/>
        <v>1041513.7099785253</v>
      </c>
      <c r="G49" s="28">
        <f>MIN('Inputs &amp; Summary'!$C$14*E49,MAX('Inputs &amp; Summary'!$C$13*E49,F49))</f>
        <v>262461.45491458836</v>
      </c>
      <c r="H49" s="29">
        <f>MIN(MIN(H48*(1+'Inputs &amp; Summary'!$C$15),MAX(H48*(1-'Inputs &amp; Summary'!$C$15),G49)),E49)</f>
        <v>262461.45491458836</v>
      </c>
      <c r="I49" s="30">
        <f>H49/(1+'Inputs &amp; Summary'!$C$11)^(45-1)</f>
        <v>71487.094306719067</v>
      </c>
      <c r="J49" s="31">
        <f t="shared" si="1"/>
        <v>0.06</v>
      </c>
      <c r="K49" s="28">
        <f t="shared" si="2"/>
        <v>246713.76761971306</v>
      </c>
      <c r="L49" s="28">
        <f t="shared" si="3"/>
        <v>4358609.8946149312</v>
      </c>
      <c r="M49" s="30">
        <f>L49/(1+'Inputs &amp; Summary'!$C$11)^(45-1)</f>
        <v>1187162.3461202481</v>
      </c>
      <c r="N49" s="32">
        <f>IF(B49&gt;='Inputs &amp; Summary'!$C$18,'Inputs &amp; Summary'!$C$17*VLOOKUP('Inputs &amp; Summary'!$C$18,'Inputs &amp; Summary'!$H$21:$I$29,2,FALSE)*(1+'Inputs &amp; Summary'!$C$11)^(45-1),0)</f>
        <v>110143.56820343708</v>
      </c>
      <c r="O49" s="28">
        <f t="shared" si="4"/>
        <v>372605.02311802545</v>
      </c>
      <c r="P49" s="30">
        <f>O49/(1+'Inputs &amp; Summary'!$C$11)^(45-1)</f>
        <v>101487.09430671907</v>
      </c>
    </row>
    <row r="50" spans="1:16" x14ac:dyDescent="0.35">
      <c r="A50" s="33">
        <v>46</v>
      </c>
      <c r="B50" s="33">
        <f>'Inputs &amp; Summary'!$C$7+46-1</f>
        <v>95</v>
      </c>
      <c r="C50" s="33">
        <f>IFERROR(VLOOKUP(B50,'Life Expectancy'!$A$6:$B$81,2,FALSE),1.5)</f>
        <v>3.9</v>
      </c>
      <c r="D50" s="34">
        <f>'4% Rule'!C50</f>
        <v>0.06</v>
      </c>
      <c r="E50" s="35">
        <f t="shared" si="5"/>
        <v>4358609.8946149312</v>
      </c>
      <c r="F50" s="35">
        <f t="shared" si="0"/>
        <v>1117592.2806704952</v>
      </c>
      <c r="G50" s="35">
        <f>MIN('Inputs &amp; Summary'!$C$14*E50,MAX('Inputs &amp; Summary'!$C$13*E50,F50))</f>
        <v>261516.59367689586</v>
      </c>
      <c r="H50" s="36">
        <f>MIN(MIN(H49*(1+'Inputs &amp; Summary'!$C$15),MAX(H49*(1-'Inputs &amp; Summary'!$C$15),G50)),E50)</f>
        <v>261516.59367689586</v>
      </c>
      <c r="I50" s="37">
        <f>H50/(1+'Inputs &amp; Summary'!$C$11)^(46-1)</f>
        <v>69155.088123509602</v>
      </c>
      <c r="J50" s="38">
        <f t="shared" si="1"/>
        <v>0.06</v>
      </c>
      <c r="K50" s="35">
        <f t="shared" si="2"/>
        <v>245825.59805628212</v>
      </c>
      <c r="L50" s="35">
        <f t="shared" si="3"/>
        <v>4342918.8989943173</v>
      </c>
      <c r="M50" s="37">
        <f>L50/(1+'Inputs &amp; Summary'!$C$11)^(46-1)</f>
        <v>1148435.4967710827</v>
      </c>
      <c r="N50" s="39">
        <f>IF(B50&gt;='Inputs &amp; Summary'!$C$18,'Inputs &amp; Summary'!$C$17*VLOOKUP('Inputs &amp; Summary'!$C$18,'Inputs &amp; Summary'!$H$21:$I$29,2,FALSE)*(1+'Inputs &amp; Summary'!$C$11)^(46-1),0)</f>
        <v>113447.8752495402</v>
      </c>
      <c r="O50" s="35">
        <f t="shared" si="4"/>
        <v>374964.46892643603</v>
      </c>
      <c r="P50" s="37">
        <f>O50/(1+'Inputs &amp; Summary'!$C$11)^(46-1)</f>
        <v>99155.088123509588</v>
      </c>
    </row>
  </sheetData>
  <sheetProtection sheet="1" formatCells="0"/>
  <conditionalFormatting sqref="L5:L50">
    <cfRule type="cellIs" dxfId="2" priority="1" operator="lessThanOrEqual">
      <formula>0</formula>
    </cfRule>
  </conditionalFormatting>
  <pageMargins left="0.75" right="0.75" top="1" bottom="1" header="0.5" footer="0.5"/>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200-000002000000}">
            <xm:f>AND(P5&lt;'Inputs &amp; Summary'!$C$16,B5&lt;='Inputs &amp; Summary'!$C$8)</xm:f>
            <x14:dxf>
              <font>
                <color rgb="FF9C0006"/>
                <name val="Arial"/>
              </font>
              <fill>
                <patternFill patternType="solid">
                  <fgColor rgb="FFFFC7CE"/>
                </patternFill>
              </fill>
            </x14:dxf>
          </x14:cfRule>
          <xm:sqref>P5:P50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0"/>
  <sheetViews>
    <sheetView showGridLines="0" workbookViewId="0"/>
  </sheetViews>
  <sheetFormatPr defaultRowHeight="14.5" x14ac:dyDescent="0.35"/>
  <cols>
    <col min="1" max="2" width="7" customWidth="1"/>
    <col min="3" max="3" width="13" customWidth="1"/>
    <col min="4" max="4" width="17" customWidth="1"/>
    <col min="5" max="5" width="15" customWidth="1"/>
    <col min="6" max="6" width="16" customWidth="1"/>
    <col min="7" max="7" width="15" customWidth="1"/>
    <col min="8" max="8" width="16" customWidth="1"/>
    <col min="9" max="9" width="18" customWidth="1"/>
  </cols>
  <sheetData>
    <row r="1" spans="1:9" ht="18" x14ac:dyDescent="0.4">
      <c r="A1" s="26" t="s">
        <v>118</v>
      </c>
    </row>
    <row r="2" spans="1:9" x14ac:dyDescent="0.35">
      <c r="A2" s="5" t="s">
        <v>119</v>
      </c>
    </row>
    <row r="4" spans="1:9" ht="28" x14ac:dyDescent="0.35">
      <c r="A4" s="8" t="s">
        <v>58</v>
      </c>
      <c r="B4" s="8" t="s">
        <v>104</v>
      </c>
      <c r="C4" s="8" t="s">
        <v>106</v>
      </c>
      <c r="D4" s="8" t="s">
        <v>107</v>
      </c>
      <c r="E4" s="8" t="s">
        <v>120</v>
      </c>
      <c r="F4" s="8" t="s">
        <v>121</v>
      </c>
      <c r="G4" s="8" t="s">
        <v>113</v>
      </c>
      <c r="H4" s="8" t="s">
        <v>114</v>
      </c>
      <c r="I4" s="8" t="s">
        <v>115</v>
      </c>
    </row>
    <row r="5" spans="1:9" x14ac:dyDescent="0.35">
      <c r="A5" s="9">
        <v>1</v>
      </c>
      <c r="B5" s="9">
        <f>'Inputs &amp; Summary'!$C$7+1-1</f>
        <v>50</v>
      </c>
      <c r="C5" s="27">
        <f>IF('Inputs &amp; Summary'!$C$22="Steady",'Inputs &amp; Summary'!$C$10,IF('Inputs &amp; Summary'!$C$22="Early crash",IFERROR(VLOOKUP(A5,'Inputs &amp; Summary'!$H$7:$J$16,2,FALSE),'Inputs &amp; Summary'!$C$10),IFERROR(VLOOKUP(A5,'Inputs &amp; Summary'!$H$7:$J$16,3,FALSE),'Inputs &amp; Summary'!$C$10)))</f>
        <v>0.06</v>
      </c>
      <c r="D5" s="28">
        <f>'Inputs &amp; Summary'!$C$9</f>
        <v>3500000</v>
      </c>
      <c r="E5" s="28">
        <f>MIN(IF('Inputs &amp; Summary'!$C$19&gt;0,'Inputs &amp; Summary'!$C$19,'Inputs &amp; Summary'!$C$9*'Inputs &amp; Summary'!$C$12),D5)</f>
        <v>140000</v>
      </c>
      <c r="F5" s="30">
        <f>E5/(1+'Inputs &amp; Summary'!$C$11)^(1-1)</f>
        <v>140000</v>
      </c>
      <c r="G5" s="28">
        <f t="shared" ref="G5:G50" si="0">(D5-E5)*C5</f>
        <v>201600</v>
      </c>
      <c r="H5" s="28">
        <f t="shared" ref="H5:H50" si="1">D5-E5+G5</f>
        <v>3561600</v>
      </c>
      <c r="I5" s="30">
        <f>H5/(1+'Inputs &amp; Summary'!$C$11)^(1-1)</f>
        <v>3561600</v>
      </c>
    </row>
    <row r="6" spans="1:9" x14ac:dyDescent="0.35">
      <c r="A6" s="33">
        <v>2</v>
      </c>
      <c r="B6" s="33">
        <f>'Inputs &amp; Summary'!$C$7+2-1</f>
        <v>51</v>
      </c>
      <c r="C6" s="34">
        <f>IF('Inputs &amp; Summary'!$C$22="Steady",'Inputs &amp; Summary'!$C$10,IF('Inputs &amp; Summary'!$C$22="Early crash",IFERROR(VLOOKUP(A6,'Inputs &amp; Summary'!$H$7:$J$16,2,FALSE),'Inputs &amp; Summary'!$C$10),IFERROR(VLOOKUP(A6,'Inputs &amp; Summary'!$H$7:$J$16,3,FALSE),'Inputs &amp; Summary'!$C$10)))</f>
        <v>0.06</v>
      </c>
      <c r="D6" s="35">
        <f t="shared" ref="D6:D50" si="2">MAX(H5,0)</f>
        <v>3561600</v>
      </c>
      <c r="E6" s="35">
        <f>MIN(E5*(1+'Inputs &amp; Summary'!$C$11),D6)</f>
        <v>144200</v>
      </c>
      <c r="F6" s="37">
        <f>E6/(1+'Inputs &amp; Summary'!$C$11)^(2-1)</f>
        <v>140000</v>
      </c>
      <c r="G6" s="35">
        <f t="shared" si="0"/>
        <v>205044</v>
      </c>
      <c r="H6" s="35">
        <f t="shared" si="1"/>
        <v>3622444</v>
      </c>
      <c r="I6" s="37">
        <f>H6/(1+'Inputs &amp; Summary'!$C$11)^(2-1)</f>
        <v>3516935.9223300968</v>
      </c>
    </row>
    <row r="7" spans="1:9" x14ac:dyDescent="0.35">
      <c r="A7" s="9">
        <v>3</v>
      </c>
      <c r="B7" s="9">
        <f>'Inputs &amp; Summary'!$C$7+3-1</f>
        <v>52</v>
      </c>
      <c r="C7" s="27">
        <f>IF('Inputs &amp; Summary'!$C$22="Steady",'Inputs &amp; Summary'!$C$10,IF('Inputs &amp; Summary'!$C$22="Early crash",IFERROR(VLOOKUP(A7,'Inputs &amp; Summary'!$H$7:$J$16,2,FALSE),'Inputs &amp; Summary'!$C$10),IFERROR(VLOOKUP(A7,'Inputs &amp; Summary'!$H$7:$J$16,3,FALSE),'Inputs &amp; Summary'!$C$10)))</f>
        <v>0.06</v>
      </c>
      <c r="D7" s="28">
        <f t="shared" si="2"/>
        <v>3622444</v>
      </c>
      <c r="E7" s="28">
        <f>MIN(E6*(1+'Inputs &amp; Summary'!$C$11),D7)</f>
        <v>148526</v>
      </c>
      <c r="F7" s="30">
        <f>E7/(1+'Inputs &amp; Summary'!$C$11)^(3-1)</f>
        <v>140000</v>
      </c>
      <c r="G7" s="28">
        <f t="shared" si="0"/>
        <v>208435.08</v>
      </c>
      <c r="H7" s="28">
        <f t="shared" si="1"/>
        <v>3682353.08</v>
      </c>
      <c r="I7" s="30">
        <f>H7/(1+'Inputs &amp; Summary'!$C$11)^(3-1)</f>
        <v>3470970.9491940807</v>
      </c>
    </row>
    <row r="8" spans="1:9" x14ac:dyDescent="0.35">
      <c r="A8" s="33">
        <v>4</v>
      </c>
      <c r="B8" s="33">
        <f>'Inputs &amp; Summary'!$C$7+4-1</f>
        <v>53</v>
      </c>
      <c r="C8" s="34">
        <f>IF('Inputs &amp; Summary'!$C$22="Steady",'Inputs &amp; Summary'!$C$10,IF('Inputs &amp; Summary'!$C$22="Early crash",IFERROR(VLOOKUP(A8,'Inputs &amp; Summary'!$H$7:$J$16,2,FALSE),'Inputs &amp; Summary'!$C$10),IFERROR(VLOOKUP(A8,'Inputs &amp; Summary'!$H$7:$J$16,3,FALSE),'Inputs &amp; Summary'!$C$10)))</f>
        <v>0.06</v>
      </c>
      <c r="D8" s="35">
        <f t="shared" si="2"/>
        <v>3682353.08</v>
      </c>
      <c r="E8" s="35">
        <f>MIN(E7*(1+'Inputs &amp; Summary'!$C$11),D8)</f>
        <v>152981.78</v>
      </c>
      <c r="F8" s="37">
        <f>E8/(1+'Inputs &amp; Summary'!$C$11)^(4-1)</f>
        <v>140000</v>
      </c>
      <c r="G8" s="35">
        <f t="shared" si="0"/>
        <v>211762.27800000002</v>
      </c>
      <c r="H8" s="35">
        <f t="shared" si="1"/>
        <v>3741133.5780000002</v>
      </c>
      <c r="I8" s="37">
        <f>H8/(1+'Inputs &amp; Summary'!$C$11)^(4-1)</f>
        <v>3423667.1904327432</v>
      </c>
    </row>
    <row r="9" spans="1:9" x14ac:dyDescent="0.35">
      <c r="A9" s="9">
        <v>5</v>
      </c>
      <c r="B9" s="9">
        <f>'Inputs &amp; Summary'!$C$7+5-1</f>
        <v>54</v>
      </c>
      <c r="C9" s="27">
        <f>IF('Inputs &amp; Summary'!$C$22="Steady",'Inputs &amp; Summary'!$C$10,IF('Inputs &amp; Summary'!$C$22="Early crash",IFERROR(VLOOKUP(A9,'Inputs &amp; Summary'!$H$7:$J$16,2,FALSE),'Inputs &amp; Summary'!$C$10),IFERROR(VLOOKUP(A9,'Inputs &amp; Summary'!$H$7:$J$16,3,FALSE),'Inputs &amp; Summary'!$C$10)))</f>
        <v>0.06</v>
      </c>
      <c r="D9" s="28">
        <f t="shared" si="2"/>
        <v>3741133.5780000002</v>
      </c>
      <c r="E9" s="28">
        <f>MIN(E8*(1+'Inputs &amp; Summary'!$C$11),D9)</f>
        <v>157571.2334</v>
      </c>
      <c r="F9" s="30">
        <f>E9/(1+'Inputs &amp; Summary'!$C$11)^(5-1)</f>
        <v>140000</v>
      </c>
      <c r="G9" s="28">
        <f t="shared" si="0"/>
        <v>215013.74067600002</v>
      </c>
      <c r="H9" s="28">
        <f t="shared" si="1"/>
        <v>3798576.0852760002</v>
      </c>
      <c r="I9" s="30">
        <f>H9/(1+'Inputs &amp; Summary'!$C$11)^(5-1)</f>
        <v>3374985.652290008</v>
      </c>
    </row>
    <row r="10" spans="1:9" x14ac:dyDescent="0.35">
      <c r="A10" s="33">
        <v>6</v>
      </c>
      <c r="B10" s="33">
        <f>'Inputs &amp; Summary'!$C$7+6-1</f>
        <v>55</v>
      </c>
      <c r="C10" s="34">
        <f>IF('Inputs &amp; Summary'!$C$22="Steady",'Inputs &amp; Summary'!$C$10,IF('Inputs &amp; Summary'!$C$22="Early crash",IFERROR(VLOOKUP(A10,'Inputs &amp; Summary'!$H$7:$J$16,2,FALSE),'Inputs &amp; Summary'!$C$10),IFERROR(VLOOKUP(A10,'Inputs &amp; Summary'!$H$7:$J$16,3,FALSE),'Inputs &amp; Summary'!$C$10)))</f>
        <v>0.06</v>
      </c>
      <c r="D10" s="35">
        <f t="shared" si="2"/>
        <v>3798576.0852760002</v>
      </c>
      <c r="E10" s="35">
        <f>MIN(E9*(1+'Inputs &amp; Summary'!$C$11),D10)</f>
        <v>162298.370402</v>
      </c>
      <c r="F10" s="37">
        <f>E10/(1+'Inputs &amp; Summary'!$C$11)^(6-1)</f>
        <v>140000.00000000003</v>
      </c>
      <c r="G10" s="35">
        <f t="shared" si="0"/>
        <v>218176.66289244001</v>
      </c>
      <c r="H10" s="35">
        <f t="shared" si="1"/>
        <v>3854454.3777664402</v>
      </c>
      <c r="I10" s="37">
        <f>H10/(1+'Inputs &amp; Summary'!$C$11)^(6-1)</f>
        <v>3324886.2052693288</v>
      </c>
    </row>
    <row r="11" spans="1:9" x14ac:dyDescent="0.35">
      <c r="A11" s="9">
        <v>7</v>
      </c>
      <c r="B11" s="9">
        <f>'Inputs &amp; Summary'!$C$7+7-1</f>
        <v>56</v>
      </c>
      <c r="C11" s="27">
        <f>IF('Inputs &amp; Summary'!$C$22="Steady",'Inputs &amp; Summary'!$C$10,IF('Inputs &amp; Summary'!$C$22="Early crash",IFERROR(VLOOKUP(A11,'Inputs &amp; Summary'!$H$7:$J$16,2,FALSE),'Inputs &amp; Summary'!$C$10),IFERROR(VLOOKUP(A11,'Inputs &amp; Summary'!$H$7:$J$16,3,FALSE),'Inputs &amp; Summary'!$C$10)))</f>
        <v>0.06</v>
      </c>
      <c r="D11" s="28">
        <f t="shared" si="2"/>
        <v>3854454.3777664402</v>
      </c>
      <c r="E11" s="28">
        <f>MIN(E10*(1+'Inputs &amp; Summary'!$C$11),D11)</f>
        <v>167167.32151405999</v>
      </c>
      <c r="F11" s="30">
        <f>E11/(1+'Inputs &amp; Summary'!$C$11)^(7-1)</f>
        <v>140000</v>
      </c>
      <c r="G11" s="28">
        <f t="shared" si="0"/>
        <v>221237.22337514281</v>
      </c>
      <c r="H11" s="28">
        <f t="shared" si="1"/>
        <v>3908524.2796275234</v>
      </c>
      <c r="I11" s="30">
        <f>H11/(1+'Inputs &amp; Summary'!$C$11)^(7-1)</f>
        <v>3273327.5510538723</v>
      </c>
    </row>
    <row r="12" spans="1:9" x14ac:dyDescent="0.35">
      <c r="A12" s="33">
        <v>8</v>
      </c>
      <c r="B12" s="33">
        <f>'Inputs &amp; Summary'!$C$7+8-1</f>
        <v>57</v>
      </c>
      <c r="C12" s="34">
        <f>IF('Inputs &amp; Summary'!$C$22="Steady",'Inputs &amp; Summary'!$C$10,IF('Inputs &amp; Summary'!$C$22="Early crash",IFERROR(VLOOKUP(A12,'Inputs &amp; Summary'!$H$7:$J$16,2,FALSE),'Inputs &amp; Summary'!$C$10),IFERROR(VLOOKUP(A12,'Inputs &amp; Summary'!$H$7:$J$16,3,FALSE),'Inputs &amp; Summary'!$C$10)))</f>
        <v>0.06</v>
      </c>
      <c r="D12" s="35">
        <f t="shared" si="2"/>
        <v>3908524.2796275234</v>
      </c>
      <c r="E12" s="35">
        <f>MIN(E11*(1+'Inputs &amp; Summary'!$C$11),D12)</f>
        <v>172182.34115948179</v>
      </c>
      <c r="F12" s="37">
        <f>E12/(1+'Inputs &amp; Summary'!$C$11)^(8-1)</f>
        <v>140000</v>
      </c>
      <c r="G12" s="35">
        <f t="shared" si="0"/>
        <v>224180.5163080825</v>
      </c>
      <c r="H12" s="35">
        <f t="shared" si="1"/>
        <v>3960522.4547761241</v>
      </c>
      <c r="I12" s="37">
        <f>H12/(1+'Inputs &amp; Summary'!$C$11)^(8-1)</f>
        <v>3220267.1884632083</v>
      </c>
    </row>
    <row r="13" spans="1:9" x14ac:dyDescent="0.35">
      <c r="A13" s="9">
        <v>9</v>
      </c>
      <c r="B13" s="9">
        <f>'Inputs &amp; Summary'!$C$7+9-1</f>
        <v>58</v>
      </c>
      <c r="C13" s="27">
        <f>IF('Inputs &amp; Summary'!$C$22="Steady",'Inputs &amp; Summary'!$C$10,IF('Inputs &amp; Summary'!$C$22="Early crash",IFERROR(VLOOKUP(A13,'Inputs &amp; Summary'!$H$7:$J$16,2,FALSE),'Inputs &amp; Summary'!$C$10),IFERROR(VLOOKUP(A13,'Inputs &amp; Summary'!$H$7:$J$16,3,FALSE),'Inputs &amp; Summary'!$C$10)))</f>
        <v>0.06</v>
      </c>
      <c r="D13" s="28">
        <f t="shared" si="2"/>
        <v>3960522.4547761241</v>
      </c>
      <c r="E13" s="28">
        <f>MIN(E12*(1+'Inputs &amp; Summary'!$C$11),D13)</f>
        <v>177347.81139426626</v>
      </c>
      <c r="F13" s="30">
        <f>E13/(1+'Inputs &amp; Summary'!$C$11)^(9-1)</f>
        <v>140000.00000000003</v>
      </c>
      <c r="G13" s="28">
        <f t="shared" si="0"/>
        <v>226990.47860291146</v>
      </c>
      <c r="H13" s="28">
        <f t="shared" si="1"/>
        <v>4010165.1219847691</v>
      </c>
      <c r="I13" s="30">
        <f>H13/(1+'Inputs &amp; Summary'!$C$11)^(9-1)</f>
        <v>3165661.3784184474</v>
      </c>
    </row>
    <row r="14" spans="1:9" x14ac:dyDescent="0.35">
      <c r="A14" s="33">
        <v>10</v>
      </c>
      <c r="B14" s="33">
        <f>'Inputs &amp; Summary'!$C$7+10-1</f>
        <v>59</v>
      </c>
      <c r="C14" s="34">
        <f>IF('Inputs &amp; Summary'!$C$22="Steady",'Inputs &amp; Summary'!$C$10,IF('Inputs &amp; Summary'!$C$22="Early crash",IFERROR(VLOOKUP(A14,'Inputs &amp; Summary'!$H$7:$J$16,2,FALSE),'Inputs &amp; Summary'!$C$10),IFERROR(VLOOKUP(A14,'Inputs &amp; Summary'!$H$7:$J$16,3,FALSE),'Inputs &amp; Summary'!$C$10)))</f>
        <v>0.06</v>
      </c>
      <c r="D14" s="35">
        <f t="shared" si="2"/>
        <v>4010165.1219847691</v>
      </c>
      <c r="E14" s="35">
        <f>MIN(E13*(1+'Inputs &amp; Summary'!$C$11),D14)</f>
        <v>182668.24573609425</v>
      </c>
      <c r="F14" s="37">
        <f>E14/(1+'Inputs &amp; Summary'!$C$11)^(10-1)</f>
        <v>140000.00000000003</v>
      </c>
      <c r="G14" s="35">
        <f t="shared" si="0"/>
        <v>229649.81257492048</v>
      </c>
      <c r="H14" s="35">
        <f t="shared" si="1"/>
        <v>4057146.6888235956</v>
      </c>
      <c r="I14" s="37">
        <f>H14/(1+'Inputs &amp; Summary'!$C$11)^(10-1)</f>
        <v>3109465.1078869458</v>
      </c>
    </row>
    <row r="15" spans="1:9" x14ac:dyDescent="0.35">
      <c r="A15" s="9">
        <v>11</v>
      </c>
      <c r="B15" s="9">
        <f>'Inputs &amp; Summary'!$C$7+11-1</f>
        <v>60</v>
      </c>
      <c r="C15" s="27">
        <f>IF('Inputs &amp; Summary'!$C$22="Steady",'Inputs &amp; Summary'!$C$10,IF('Inputs &amp; Summary'!$C$22="Early crash",IFERROR(VLOOKUP(A15,'Inputs &amp; Summary'!$H$7:$J$16,2,FALSE),'Inputs &amp; Summary'!$C$10),IFERROR(VLOOKUP(A15,'Inputs &amp; Summary'!$H$7:$J$16,3,FALSE),'Inputs &amp; Summary'!$C$10)))</f>
        <v>0.06</v>
      </c>
      <c r="D15" s="28">
        <f t="shared" si="2"/>
        <v>4057146.6888235956</v>
      </c>
      <c r="E15" s="28">
        <f>MIN(E14*(1+'Inputs &amp; Summary'!$C$11),D15)</f>
        <v>188148.29310817708</v>
      </c>
      <c r="F15" s="30">
        <f>E15/(1+'Inputs &amp; Summary'!$C$11)^(11-1)</f>
        <v>140000.00000000003</v>
      </c>
      <c r="G15" s="28">
        <f t="shared" si="0"/>
        <v>232139.90374292512</v>
      </c>
      <c r="H15" s="28">
        <f t="shared" si="1"/>
        <v>4101138.299458344</v>
      </c>
      <c r="I15" s="30">
        <f>H15/(1+'Inputs &amp; Summary'!$C$11)^(11-1)</f>
        <v>3051632.0527768573</v>
      </c>
    </row>
    <row r="16" spans="1:9" x14ac:dyDescent="0.35">
      <c r="A16" s="33">
        <v>12</v>
      </c>
      <c r="B16" s="33">
        <f>'Inputs &amp; Summary'!$C$7+12-1</f>
        <v>61</v>
      </c>
      <c r="C16" s="34">
        <f>IF('Inputs &amp; Summary'!$C$22="Steady",'Inputs &amp; Summary'!$C$10,IF('Inputs &amp; Summary'!$C$22="Early crash",IFERROR(VLOOKUP(A16,'Inputs &amp; Summary'!$H$7:$J$16,2,FALSE),'Inputs &amp; Summary'!$C$10),IFERROR(VLOOKUP(A16,'Inputs &amp; Summary'!$H$7:$J$16,3,FALSE),'Inputs &amp; Summary'!$C$10)))</f>
        <v>0.06</v>
      </c>
      <c r="D16" s="35">
        <f t="shared" si="2"/>
        <v>4101138.299458344</v>
      </c>
      <c r="E16" s="35">
        <f>MIN(E15*(1+'Inputs &amp; Summary'!$C$11),D16)</f>
        <v>193792.74190142239</v>
      </c>
      <c r="F16" s="37">
        <f>E16/(1+'Inputs &amp; Summary'!$C$11)^(12-1)</f>
        <v>140000</v>
      </c>
      <c r="G16" s="35">
        <f t="shared" si="0"/>
        <v>234440.73345341528</v>
      </c>
      <c r="H16" s="35">
        <f t="shared" si="1"/>
        <v>4141786.291010337</v>
      </c>
      <c r="I16" s="37">
        <f>H16/(1+'Inputs &amp; Summary'!$C$11)^(12-1)</f>
        <v>2992114.5397509406</v>
      </c>
    </row>
    <row r="17" spans="1:9" x14ac:dyDescent="0.35">
      <c r="A17" s="9">
        <v>13</v>
      </c>
      <c r="B17" s="9">
        <f>'Inputs &amp; Summary'!$C$7+13-1</f>
        <v>62</v>
      </c>
      <c r="C17" s="27">
        <f>IF('Inputs &amp; Summary'!$C$22="Steady",'Inputs &amp; Summary'!$C$10,IF('Inputs &amp; Summary'!$C$22="Early crash",IFERROR(VLOOKUP(A17,'Inputs &amp; Summary'!$H$7:$J$16,2,FALSE),'Inputs &amp; Summary'!$C$10),IFERROR(VLOOKUP(A17,'Inputs &amp; Summary'!$H$7:$J$16,3,FALSE),'Inputs &amp; Summary'!$C$10)))</f>
        <v>0.06</v>
      </c>
      <c r="D17" s="28">
        <f t="shared" si="2"/>
        <v>4141786.291010337</v>
      </c>
      <c r="E17" s="28">
        <f>MIN(E16*(1+'Inputs &amp; Summary'!$C$11),D17)</f>
        <v>199606.52415846506</v>
      </c>
      <c r="F17" s="30">
        <f>E17/(1+'Inputs &amp; Summary'!$C$11)^(13-1)</f>
        <v>140000.00000000003</v>
      </c>
      <c r="G17" s="28">
        <f t="shared" si="0"/>
        <v>236530.7860111123</v>
      </c>
      <c r="H17" s="28">
        <f t="shared" si="1"/>
        <v>4178710.5528629841</v>
      </c>
      <c r="I17" s="30">
        <f>H17/(1+'Inputs &amp; Summary'!$C$11)^(13-1)</f>
        <v>2930863.5069281529</v>
      </c>
    </row>
    <row r="18" spans="1:9" x14ac:dyDescent="0.35">
      <c r="A18" s="33">
        <v>14</v>
      </c>
      <c r="B18" s="33">
        <f>'Inputs &amp; Summary'!$C$7+14-1</f>
        <v>63</v>
      </c>
      <c r="C18" s="34">
        <f>IF('Inputs &amp; Summary'!$C$22="Steady",'Inputs &amp; Summary'!$C$10,IF('Inputs &amp; Summary'!$C$22="Early crash",IFERROR(VLOOKUP(A18,'Inputs &amp; Summary'!$H$7:$J$16,2,FALSE),'Inputs &amp; Summary'!$C$10),IFERROR(VLOOKUP(A18,'Inputs &amp; Summary'!$H$7:$J$16,3,FALSE),'Inputs &amp; Summary'!$C$10)))</f>
        <v>0.06</v>
      </c>
      <c r="D18" s="35">
        <f t="shared" si="2"/>
        <v>4178710.5528629841</v>
      </c>
      <c r="E18" s="35">
        <f>MIN(E17*(1+'Inputs &amp; Summary'!$C$11),D18)</f>
        <v>205594.71988321902</v>
      </c>
      <c r="F18" s="37">
        <f>E18/(1+'Inputs &amp; Summary'!$C$11)^(14-1)</f>
        <v>140000.00000000006</v>
      </c>
      <c r="G18" s="35">
        <f t="shared" si="0"/>
        <v>238386.94997878591</v>
      </c>
      <c r="H18" s="35">
        <f t="shared" si="1"/>
        <v>4211502.7829585513</v>
      </c>
      <c r="I18" s="37">
        <f>H18/(1+'Inputs &amp; Summary'!$C$11)^(14-1)</f>
        <v>2867828.4634406236</v>
      </c>
    </row>
    <row r="19" spans="1:9" x14ac:dyDescent="0.35">
      <c r="A19" s="9">
        <v>15</v>
      </c>
      <c r="B19" s="9">
        <f>'Inputs &amp; Summary'!$C$7+15-1</f>
        <v>64</v>
      </c>
      <c r="C19" s="27">
        <f>IF('Inputs &amp; Summary'!$C$22="Steady",'Inputs &amp; Summary'!$C$10,IF('Inputs &amp; Summary'!$C$22="Early crash",IFERROR(VLOOKUP(A19,'Inputs &amp; Summary'!$H$7:$J$16,2,FALSE),'Inputs &amp; Summary'!$C$10),IFERROR(VLOOKUP(A19,'Inputs &amp; Summary'!$H$7:$J$16,3,FALSE),'Inputs &amp; Summary'!$C$10)))</f>
        <v>0.06</v>
      </c>
      <c r="D19" s="28">
        <f t="shared" si="2"/>
        <v>4211502.7829585513</v>
      </c>
      <c r="E19" s="28">
        <f>MIN(E18*(1+'Inputs &amp; Summary'!$C$11),D19)</f>
        <v>211762.5614797156</v>
      </c>
      <c r="F19" s="30">
        <f>E19/(1+'Inputs &amp; Summary'!$C$11)^(15-1)</f>
        <v>140000.00000000003</v>
      </c>
      <c r="G19" s="28">
        <f t="shared" si="0"/>
        <v>239984.41328873014</v>
      </c>
      <c r="H19" s="28">
        <f t="shared" si="1"/>
        <v>4239724.6347675659</v>
      </c>
      <c r="I19" s="30">
        <f>H19/(1+'Inputs &amp; Summary'!$C$11)^(15-1)</f>
        <v>2802957.4478126802</v>
      </c>
    </row>
    <row r="20" spans="1:9" x14ac:dyDescent="0.35">
      <c r="A20" s="33">
        <v>16</v>
      </c>
      <c r="B20" s="33">
        <f>'Inputs &amp; Summary'!$C$7+16-1</f>
        <v>65</v>
      </c>
      <c r="C20" s="34">
        <f>IF('Inputs &amp; Summary'!$C$22="Steady",'Inputs &amp; Summary'!$C$10,IF('Inputs &amp; Summary'!$C$22="Early crash",IFERROR(VLOOKUP(A20,'Inputs &amp; Summary'!$H$7:$J$16,2,FALSE),'Inputs &amp; Summary'!$C$10),IFERROR(VLOOKUP(A20,'Inputs &amp; Summary'!$H$7:$J$16,3,FALSE),'Inputs &amp; Summary'!$C$10)))</f>
        <v>0.06</v>
      </c>
      <c r="D20" s="35">
        <f t="shared" si="2"/>
        <v>4239724.6347675659</v>
      </c>
      <c r="E20" s="35">
        <f>MIN(E19*(1+'Inputs &amp; Summary'!$C$11),D20)</f>
        <v>218115.43832410706</v>
      </c>
      <c r="F20" s="37">
        <f>E20/(1+'Inputs &amp; Summary'!$C$11)^(16-1)</f>
        <v>140000.00000000003</v>
      </c>
      <c r="G20" s="35">
        <f t="shared" si="0"/>
        <v>241296.55178660754</v>
      </c>
      <c r="H20" s="35">
        <f t="shared" si="1"/>
        <v>4262905.7482300662</v>
      </c>
      <c r="I20" s="37">
        <f>H20/(1+'Inputs &amp; Summary'!$C$11)^(16-1)</f>
        <v>2736196.985127612</v>
      </c>
    </row>
    <row r="21" spans="1:9" x14ac:dyDescent="0.35">
      <c r="A21" s="9">
        <v>17</v>
      </c>
      <c r="B21" s="9">
        <f>'Inputs &amp; Summary'!$C$7+17-1</f>
        <v>66</v>
      </c>
      <c r="C21" s="27">
        <f>IF('Inputs &amp; Summary'!$C$22="Steady",'Inputs &amp; Summary'!$C$10,IF('Inputs &amp; Summary'!$C$22="Early crash",IFERROR(VLOOKUP(A21,'Inputs &amp; Summary'!$H$7:$J$16,2,FALSE),'Inputs &amp; Summary'!$C$10),IFERROR(VLOOKUP(A21,'Inputs &amp; Summary'!$H$7:$J$16,3,FALSE),'Inputs &amp; Summary'!$C$10)))</f>
        <v>0.06</v>
      </c>
      <c r="D21" s="28">
        <f t="shared" si="2"/>
        <v>4262905.7482300662</v>
      </c>
      <c r="E21" s="28">
        <f>MIN(E20*(1+'Inputs &amp; Summary'!$C$11),D21)</f>
        <v>224658.90147383028</v>
      </c>
      <c r="F21" s="30">
        <f>E21/(1+'Inputs &amp; Summary'!$C$11)^(17-1)</f>
        <v>140000.00000000006</v>
      </c>
      <c r="G21" s="28">
        <f t="shared" si="0"/>
        <v>242294.81080537415</v>
      </c>
      <c r="H21" s="28">
        <f t="shared" si="1"/>
        <v>4280541.6575616095</v>
      </c>
      <c r="I21" s="30">
        <f>H21/(1+'Inputs &amp; Summary'!$C$11)^(17-1)</f>
        <v>2667492.042946863</v>
      </c>
    </row>
    <row r="22" spans="1:9" x14ac:dyDescent="0.35">
      <c r="A22" s="33">
        <v>18</v>
      </c>
      <c r="B22" s="33">
        <f>'Inputs &amp; Summary'!$C$7+18-1</f>
        <v>67</v>
      </c>
      <c r="C22" s="34">
        <f>IF('Inputs &amp; Summary'!$C$22="Steady",'Inputs &amp; Summary'!$C$10,IF('Inputs &amp; Summary'!$C$22="Early crash",IFERROR(VLOOKUP(A22,'Inputs &amp; Summary'!$H$7:$J$16,2,FALSE),'Inputs &amp; Summary'!$C$10),IFERROR(VLOOKUP(A22,'Inputs &amp; Summary'!$H$7:$J$16,3,FALSE),'Inputs &amp; Summary'!$C$10)))</f>
        <v>0.06</v>
      </c>
      <c r="D22" s="35">
        <f t="shared" si="2"/>
        <v>4280541.6575616095</v>
      </c>
      <c r="E22" s="35">
        <f>MIN(E21*(1+'Inputs &amp; Summary'!$C$11),D22)</f>
        <v>231398.66851804519</v>
      </c>
      <c r="F22" s="37">
        <f>E22/(1+'Inputs &amp; Summary'!$C$11)^(18-1)</f>
        <v>140000.00000000006</v>
      </c>
      <c r="G22" s="35">
        <f t="shared" si="0"/>
        <v>242948.57934261387</v>
      </c>
      <c r="H22" s="35">
        <f t="shared" si="1"/>
        <v>4292091.5683861785</v>
      </c>
      <c r="I22" s="37">
        <f>H22/(1+'Inputs &amp; Summary'!$C$11)^(18-1)</f>
        <v>2596785.9859453156</v>
      </c>
    </row>
    <row r="23" spans="1:9" x14ac:dyDescent="0.35">
      <c r="A23" s="9">
        <v>19</v>
      </c>
      <c r="B23" s="9">
        <f>'Inputs &amp; Summary'!$C$7+19-1</f>
        <v>68</v>
      </c>
      <c r="C23" s="27">
        <f>IF('Inputs &amp; Summary'!$C$22="Steady",'Inputs &amp; Summary'!$C$10,IF('Inputs &amp; Summary'!$C$22="Early crash",IFERROR(VLOOKUP(A23,'Inputs &amp; Summary'!$H$7:$J$16,2,FALSE),'Inputs &amp; Summary'!$C$10),IFERROR(VLOOKUP(A23,'Inputs &amp; Summary'!$H$7:$J$16,3,FALSE),'Inputs &amp; Summary'!$C$10)))</f>
        <v>0.06</v>
      </c>
      <c r="D23" s="28">
        <f t="shared" si="2"/>
        <v>4292091.5683861785</v>
      </c>
      <c r="E23" s="28">
        <f>MIN(E22*(1+'Inputs &amp; Summary'!$C$11),D23)</f>
        <v>238340.62857358655</v>
      </c>
      <c r="F23" s="30">
        <f>E23/(1+'Inputs &amp; Summary'!$C$11)^(19-1)</f>
        <v>140000.00000000006</v>
      </c>
      <c r="G23" s="28">
        <f t="shared" si="0"/>
        <v>243225.0563887555</v>
      </c>
      <c r="H23" s="28">
        <f t="shared" si="1"/>
        <v>4296975.9962013476</v>
      </c>
      <c r="I23" s="30">
        <f>H23/(1+'Inputs &amp; Summary'!$C$11)^(19-1)</f>
        <v>2524020.5292252763</v>
      </c>
    </row>
    <row r="24" spans="1:9" x14ac:dyDescent="0.35">
      <c r="A24" s="33">
        <v>20</v>
      </c>
      <c r="B24" s="33">
        <f>'Inputs &amp; Summary'!$C$7+20-1</f>
        <v>69</v>
      </c>
      <c r="C24" s="34">
        <f>IF('Inputs &amp; Summary'!$C$22="Steady",'Inputs &amp; Summary'!$C$10,IF('Inputs &amp; Summary'!$C$22="Early crash",IFERROR(VLOOKUP(A24,'Inputs &amp; Summary'!$H$7:$J$16,2,FALSE),'Inputs &amp; Summary'!$C$10),IFERROR(VLOOKUP(A24,'Inputs &amp; Summary'!$H$7:$J$16,3,FALSE),'Inputs &amp; Summary'!$C$10)))</f>
        <v>0.06</v>
      </c>
      <c r="D24" s="35">
        <f t="shared" si="2"/>
        <v>4296975.9962013476</v>
      </c>
      <c r="E24" s="35">
        <f>MIN(E23*(1+'Inputs &amp; Summary'!$C$11),D24)</f>
        <v>245490.84743079415</v>
      </c>
      <c r="F24" s="37">
        <f>E24/(1+'Inputs &amp; Summary'!$C$11)^(20-1)</f>
        <v>140000.00000000006</v>
      </c>
      <c r="G24" s="35">
        <f t="shared" si="0"/>
        <v>243089.1089262332</v>
      </c>
      <c r="H24" s="35">
        <f t="shared" si="1"/>
        <v>4294574.2576967869</v>
      </c>
      <c r="I24" s="37">
        <f>H24/(1+'Inputs &amp; Summary'!$C$11)^(20-1)</f>
        <v>2449135.6902706726</v>
      </c>
    </row>
    <row r="25" spans="1:9" x14ac:dyDescent="0.35">
      <c r="A25" s="9">
        <v>21</v>
      </c>
      <c r="B25" s="9">
        <f>'Inputs &amp; Summary'!$C$7+21-1</f>
        <v>70</v>
      </c>
      <c r="C25" s="27">
        <f>IF('Inputs &amp; Summary'!$C$22="Steady",'Inputs &amp; Summary'!$C$10,IF('Inputs &amp; Summary'!$C$22="Early crash",IFERROR(VLOOKUP(A25,'Inputs &amp; Summary'!$H$7:$J$16,2,FALSE),'Inputs &amp; Summary'!$C$10),IFERROR(VLOOKUP(A25,'Inputs &amp; Summary'!$H$7:$J$16,3,FALSE),'Inputs &amp; Summary'!$C$10)))</f>
        <v>0.06</v>
      </c>
      <c r="D25" s="28">
        <f t="shared" si="2"/>
        <v>4294574.2576967869</v>
      </c>
      <c r="E25" s="28">
        <f>MIN(E24*(1+'Inputs &amp; Summary'!$C$11),D25)</f>
        <v>252855.57285371798</v>
      </c>
      <c r="F25" s="30">
        <f>E25/(1+'Inputs &amp; Summary'!$C$11)^(21-1)</f>
        <v>140000.00000000006</v>
      </c>
      <c r="G25" s="28">
        <f t="shared" si="0"/>
        <v>242503.12109058411</v>
      </c>
      <c r="H25" s="28">
        <f t="shared" si="1"/>
        <v>4284221.8059336534</v>
      </c>
      <c r="I25" s="30">
        <f>H25/(1+'Inputs &amp; Summary'!$C$11)^(21-1)</f>
        <v>2372069.7395018577</v>
      </c>
    </row>
    <row r="26" spans="1:9" x14ac:dyDescent="0.35">
      <c r="A26" s="33">
        <v>22</v>
      </c>
      <c r="B26" s="33">
        <f>'Inputs &amp; Summary'!$C$7+22-1</f>
        <v>71</v>
      </c>
      <c r="C26" s="34">
        <f>IF('Inputs &amp; Summary'!$C$22="Steady",'Inputs &amp; Summary'!$C$10,IF('Inputs &amp; Summary'!$C$22="Early crash",IFERROR(VLOOKUP(A26,'Inputs &amp; Summary'!$H$7:$J$16,2,FALSE),'Inputs &amp; Summary'!$C$10),IFERROR(VLOOKUP(A26,'Inputs &amp; Summary'!$H$7:$J$16,3,FALSE),'Inputs &amp; Summary'!$C$10)))</f>
        <v>0.06</v>
      </c>
      <c r="D26" s="35">
        <f t="shared" si="2"/>
        <v>4284221.8059336534</v>
      </c>
      <c r="E26" s="35">
        <f>MIN(E25*(1+'Inputs &amp; Summary'!$C$11),D26)</f>
        <v>260441.24003932954</v>
      </c>
      <c r="F26" s="37">
        <f>E26/(1+'Inputs &amp; Summary'!$C$11)^(22-1)</f>
        <v>140000.00000000009</v>
      </c>
      <c r="G26" s="35">
        <f t="shared" si="0"/>
        <v>241426.83395365943</v>
      </c>
      <c r="H26" s="35">
        <f t="shared" si="1"/>
        <v>4265207.3998479834</v>
      </c>
      <c r="I26" s="37">
        <f>H26/(1+'Inputs &amp; Summary'!$C$11)^(22-1)</f>
        <v>2292759.1493902616</v>
      </c>
    </row>
    <row r="27" spans="1:9" x14ac:dyDescent="0.35">
      <c r="A27" s="9">
        <v>23</v>
      </c>
      <c r="B27" s="9">
        <f>'Inputs &amp; Summary'!$C$7+23-1</f>
        <v>72</v>
      </c>
      <c r="C27" s="27">
        <f>IF('Inputs &amp; Summary'!$C$22="Steady",'Inputs &amp; Summary'!$C$10,IF('Inputs &amp; Summary'!$C$22="Early crash",IFERROR(VLOOKUP(A27,'Inputs &amp; Summary'!$H$7:$J$16,2,FALSE),'Inputs &amp; Summary'!$C$10),IFERROR(VLOOKUP(A27,'Inputs &amp; Summary'!$H$7:$J$16,3,FALSE),'Inputs &amp; Summary'!$C$10)))</f>
        <v>0.06</v>
      </c>
      <c r="D27" s="28">
        <f t="shared" si="2"/>
        <v>4265207.3998479834</v>
      </c>
      <c r="E27" s="28">
        <f>MIN(E26*(1+'Inputs &amp; Summary'!$C$11),D27)</f>
        <v>268254.47724050941</v>
      </c>
      <c r="F27" s="30">
        <f>E27/(1+'Inputs &amp; Summary'!$C$11)^(23-1)</f>
        <v>140000.00000000009</v>
      </c>
      <c r="G27" s="28">
        <f t="shared" si="0"/>
        <v>239817.17535644842</v>
      </c>
      <c r="H27" s="28">
        <f t="shared" si="1"/>
        <v>4236770.0979639227</v>
      </c>
      <c r="I27" s="30">
        <f>H27/(1+'Inputs &amp; Summary'!$C$11)^(23-1)</f>
        <v>2211138.5420909487</v>
      </c>
    </row>
    <row r="28" spans="1:9" x14ac:dyDescent="0.35">
      <c r="A28" s="33">
        <v>24</v>
      </c>
      <c r="B28" s="33">
        <f>'Inputs &amp; Summary'!$C$7+24-1</f>
        <v>73</v>
      </c>
      <c r="C28" s="34">
        <f>IF('Inputs &amp; Summary'!$C$22="Steady",'Inputs &amp; Summary'!$C$10,IF('Inputs &amp; Summary'!$C$22="Early crash",IFERROR(VLOOKUP(A28,'Inputs &amp; Summary'!$H$7:$J$16,2,FALSE),'Inputs &amp; Summary'!$C$10),IFERROR(VLOOKUP(A28,'Inputs &amp; Summary'!$H$7:$J$16,3,FALSE),'Inputs &amp; Summary'!$C$10)))</f>
        <v>0.06</v>
      </c>
      <c r="D28" s="35">
        <f t="shared" si="2"/>
        <v>4236770.0979639227</v>
      </c>
      <c r="E28" s="35">
        <f>MIN(E27*(1+'Inputs &amp; Summary'!$C$11),D28)</f>
        <v>276302.11155772471</v>
      </c>
      <c r="F28" s="37">
        <f>E28/(1+'Inputs &amp; Summary'!$C$11)^(24-1)</f>
        <v>140000.00000000009</v>
      </c>
      <c r="G28" s="35">
        <f t="shared" si="0"/>
        <v>237628.07918437186</v>
      </c>
      <c r="H28" s="35">
        <f t="shared" si="1"/>
        <v>4198096.0655905697</v>
      </c>
      <c r="I28" s="37">
        <f>H28/(1+'Inputs &amp; Summary'!$C$11)^(24-1)</f>
        <v>2127140.635549908</v>
      </c>
    </row>
    <row r="29" spans="1:9" x14ac:dyDescent="0.35">
      <c r="A29" s="9">
        <v>25</v>
      </c>
      <c r="B29" s="9">
        <f>'Inputs &amp; Summary'!$C$7+25-1</f>
        <v>74</v>
      </c>
      <c r="C29" s="27">
        <f>IF('Inputs &amp; Summary'!$C$22="Steady",'Inputs &amp; Summary'!$C$10,IF('Inputs &amp; Summary'!$C$22="Early crash",IFERROR(VLOOKUP(A29,'Inputs &amp; Summary'!$H$7:$J$16,2,FALSE),'Inputs &amp; Summary'!$C$10),IFERROR(VLOOKUP(A29,'Inputs &amp; Summary'!$H$7:$J$16,3,FALSE),'Inputs &amp; Summary'!$C$10)))</f>
        <v>0.06</v>
      </c>
      <c r="D29" s="28">
        <f t="shared" si="2"/>
        <v>4198096.0655905697</v>
      </c>
      <c r="E29" s="28">
        <f>MIN(E28*(1+'Inputs &amp; Summary'!$C$11),D29)</f>
        <v>284591.17490445648</v>
      </c>
      <c r="F29" s="30">
        <f>E29/(1+'Inputs &amp; Summary'!$C$11)^(25-1)</f>
        <v>140000.00000000012</v>
      </c>
      <c r="G29" s="28">
        <f t="shared" si="0"/>
        <v>234810.29344116678</v>
      </c>
      <c r="H29" s="28">
        <f t="shared" si="1"/>
        <v>4148315.18412728</v>
      </c>
      <c r="I29" s="30">
        <f>H29/(1+'Inputs &amp; Summary'!$C$11)^(25-1)</f>
        <v>2040696.188041653</v>
      </c>
    </row>
    <row r="30" spans="1:9" x14ac:dyDescent="0.35">
      <c r="A30" s="33">
        <v>26</v>
      </c>
      <c r="B30" s="33">
        <f>'Inputs &amp; Summary'!$C$7+26-1</f>
        <v>75</v>
      </c>
      <c r="C30" s="34">
        <f>IF('Inputs &amp; Summary'!$C$22="Steady",'Inputs &amp; Summary'!$C$10,IF('Inputs &amp; Summary'!$C$22="Early crash",IFERROR(VLOOKUP(A30,'Inputs &amp; Summary'!$H$7:$J$16,2,FALSE),'Inputs &amp; Summary'!$C$10),IFERROR(VLOOKUP(A30,'Inputs &amp; Summary'!$H$7:$J$16,3,FALSE),'Inputs &amp; Summary'!$C$10)))</f>
        <v>0.06</v>
      </c>
      <c r="D30" s="35">
        <f t="shared" si="2"/>
        <v>4148315.18412728</v>
      </c>
      <c r="E30" s="35">
        <f>MIN(E29*(1+'Inputs &amp; Summary'!$C$11),D30)</f>
        <v>293128.91015159019</v>
      </c>
      <c r="F30" s="37">
        <f>E30/(1+'Inputs &amp; Summary'!$C$11)^(26-1)</f>
        <v>140000.00000000012</v>
      </c>
      <c r="G30" s="35">
        <f t="shared" si="0"/>
        <v>231311.17643854138</v>
      </c>
      <c r="H30" s="35">
        <f t="shared" si="1"/>
        <v>4086497.450414231</v>
      </c>
      <c r="I30" s="37">
        <f>H30/(1+'Inputs &amp; Summary'!$C$11)^(26-1)</f>
        <v>1951733.9410914097</v>
      </c>
    </row>
    <row r="31" spans="1:9" x14ac:dyDescent="0.35">
      <c r="A31" s="9">
        <v>27</v>
      </c>
      <c r="B31" s="9">
        <f>'Inputs &amp; Summary'!$C$7+27-1</f>
        <v>76</v>
      </c>
      <c r="C31" s="27">
        <f>IF('Inputs &amp; Summary'!$C$22="Steady",'Inputs &amp; Summary'!$C$10,IF('Inputs &amp; Summary'!$C$22="Early crash",IFERROR(VLOOKUP(A31,'Inputs &amp; Summary'!$H$7:$J$16,2,FALSE),'Inputs &amp; Summary'!$C$10),IFERROR(VLOOKUP(A31,'Inputs &amp; Summary'!$H$7:$J$16,3,FALSE),'Inputs &amp; Summary'!$C$10)))</f>
        <v>0.06</v>
      </c>
      <c r="D31" s="28">
        <f t="shared" si="2"/>
        <v>4086497.450414231</v>
      </c>
      <c r="E31" s="28">
        <f>MIN(E30*(1+'Inputs &amp; Summary'!$C$11),D31)</f>
        <v>301922.77745613788</v>
      </c>
      <c r="F31" s="30">
        <f>E31/(1+'Inputs &amp; Summary'!$C$11)^(27-1)</f>
        <v>140000.00000000009</v>
      </c>
      <c r="G31" s="28">
        <f t="shared" si="0"/>
        <v>227074.4803774856</v>
      </c>
      <c r="H31" s="28">
        <f t="shared" si="1"/>
        <v>4011649.1533355787</v>
      </c>
      <c r="I31" s="30">
        <f>H31/(1+'Inputs &amp; Summary'!$C$11)^(27-1)</f>
        <v>1860180.5607348483</v>
      </c>
    </row>
    <row r="32" spans="1:9" x14ac:dyDescent="0.35">
      <c r="A32" s="33">
        <v>28</v>
      </c>
      <c r="B32" s="33">
        <f>'Inputs &amp; Summary'!$C$7+28-1</f>
        <v>77</v>
      </c>
      <c r="C32" s="34">
        <f>IF('Inputs &amp; Summary'!$C$22="Steady",'Inputs &amp; Summary'!$C$10,IF('Inputs &amp; Summary'!$C$22="Early crash",IFERROR(VLOOKUP(A32,'Inputs &amp; Summary'!$H$7:$J$16,2,FALSE),'Inputs &amp; Summary'!$C$10),IFERROR(VLOOKUP(A32,'Inputs &amp; Summary'!$H$7:$J$16,3,FALSE),'Inputs &amp; Summary'!$C$10)))</f>
        <v>0.06</v>
      </c>
      <c r="D32" s="35">
        <f t="shared" si="2"/>
        <v>4011649.1533355787</v>
      </c>
      <c r="E32" s="35">
        <f>MIN(E31*(1+'Inputs &amp; Summary'!$C$11),D32)</f>
        <v>310980.46077982202</v>
      </c>
      <c r="F32" s="37">
        <f>E32/(1+'Inputs &amp; Summary'!$C$11)^(28-1)</f>
        <v>140000.00000000012</v>
      </c>
      <c r="G32" s="35">
        <f t="shared" si="0"/>
        <v>222040.12155334541</v>
      </c>
      <c r="H32" s="35">
        <f t="shared" si="1"/>
        <v>3922708.8141091024</v>
      </c>
      <c r="I32" s="37">
        <f>H32/(1+'Inputs &amp; Summary'!$C$11)^(28-1)</f>
        <v>1765960.5770669316</v>
      </c>
    </row>
    <row r="33" spans="1:9" x14ac:dyDescent="0.35">
      <c r="A33" s="9">
        <v>29</v>
      </c>
      <c r="B33" s="9">
        <f>'Inputs &amp; Summary'!$C$7+29-1</f>
        <v>78</v>
      </c>
      <c r="C33" s="27">
        <f>IF('Inputs &amp; Summary'!$C$22="Steady",'Inputs &amp; Summary'!$C$10,IF('Inputs &amp; Summary'!$C$22="Early crash",IFERROR(VLOOKUP(A33,'Inputs &amp; Summary'!$H$7:$J$16,2,FALSE),'Inputs &amp; Summary'!$C$10),IFERROR(VLOOKUP(A33,'Inputs &amp; Summary'!$H$7:$J$16,3,FALSE),'Inputs &amp; Summary'!$C$10)))</f>
        <v>0.06</v>
      </c>
      <c r="D33" s="28">
        <f t="shared" si="2"/>
        <v>3922708.8141091024</v>
      </c>
      <c r="E33" s="28">
        <f>MIN(E32*(1+'Inputs &amp; Summary'!$C$11),D33)</f>
        <v>320309.87460321671</v>
      </c>
      <c r="F33" s="30">
        <f>E33/(1+'Inputs &amp; Summary'!$C$11)^(29-1)</f>
        <v>140000.00000000012</v>
      </c>
      <c r="G33" s="28">
        <f t="shared" si="0"/>
        <v>216143.93637035313</v>
      </c>
      <c r="H33" s="28">
        <f t="shared" si="1"/>
        <v>3818542.875876239</v>
      </c>
      <c r="I33" s="30">
        <f>H33/(1+'Inputs &amp; Summary'!$C$11)^(29-1)</f>
        <v>1668996.322030046</v>
      </c>
    </row>
    <row r="34" spans="1:9" x14ac:dyDescent="0.35">
      <c r="A34" s="33">
        <v>30</v>
      </c>
      <c r="B34" s="33">
        <f>'Inputs &amp; Summary'!$C$7+30-1</f>
        <v>79</v>
      </c>
      <c r="C34" s="34">
        <f>IF('Inputs &amp; Summary'!$C$22="Steady",'Inputs &amp; Summary'!$C$10,IF('Inputs &amp; Summary'!$C$22="Early crash",IFERROR(VLOOKUP(A34,'Inputs &amp; Summary'!$H$7:$J$16,2,FALSE),'Inputs &amp; Summary'!$C$10),IFERROR(VLOOKUP(A34,'Inputs &amp; Summary'!$H$7:$J$16,3,FALSE),'Inputs &amp; Summary'!$C$10)))</f>
        <v>0.06</v>
      </c>
      <c r="D34" s="35">
        <f t="shared" si="2"/>
        <v>3818542.875876239</v>
      </c>
      <c r="E34" s="35">
        <f>MIN(E33*(1+'Inputs &amp; Summary'!$C$11),D34)</f>
        <v>329919.1708413132</v>
      </c>
      <c r="F34" s="37">
        <f>E34/(1+'Inputs &amp; Summary'!$C$11)^(30-1)</f>
        <v>140000.00000000015</v>
      </c>
      <c r="G34" s="35">
        <f t="shared" si="0"/>
        <v>209317.42230209554</v>
      </c>
      <c r="H34" s="35">
        <f t="shared" si="1"/>
        <v>3697941.1273370213</v>
      </c>
      <c r="I34" s="37">
        <f>H34/(1+'Inputs &amp; Summary'!$C$11)^(30-1)</f>
        <v>1569207.8653901445</v>
      </c>
    </row>
    <row r="35" spans="1:9" x14ac:dyDescent="0.35">
      <c r="A35" s="9">
        <v>31</v>
      </c>
      <c r="B35" s="9">
        <f>'Inputs &amp; Summary'!$C$7+31-1</f>
        <v>80</v>
      </c>
      <c r="C35" s="27">
        <f>IF('Inputs &amp; Summary'!$C$22="Steady",'Inputs &amp; Summary'!$C$10,IF('Inputs &amp; Summary'!$C$22="Early crash",IFERROR(VLOOKUP(A35,'Inputs &amp; Summary'!$H$7:$J$16,2,FALSE),'Inputs &amp; Summary'!$C$10),IFERROR(VLOOKUP(A35,'Inputs &amp; Summary'!$H$7:$J$16,3,FALSE),'Inputs &amp; Summary'!$C$10)))</f>
        <v>0.06</v>
      </c>
      <c r="D35" s="28">
        <f t="shared" si="2"/>
        <v>3697941.1273370213</v>
      </c>
      <c r="E35" s="28">
        <f>MIN(E34*(1+'Inputs &amp; Summary'!$C$11),D35)</f>
        <v>339816.74596655258</v>
      </c>
      <c r="F35" s="30">
        <f>E35/(1+'Inputs &amp; Summary'!$C$11)^(31-1)</f>
        <v>140000.00000000012</v>
      </c>
      <c r="G35" s="28">
        <f t="shared" si="0"/>
        <v>201487.46288222811</v>
      </c>
      <c r="H35" s="28">
        <f t="shared" si="1"/>
        <v>3559611.8442526967</v>
      </c>
      <c r="I35" s="30">
        <f>H35/(1+'Inputs &amp; Summary'!$C$11)^(31-1)</f>
        <v>1466512.9488481097</v>
      </c>
    </row>
    <row r="36" spans="1:9" x14ac:dyDescent="0.35">
      <c r="A36" s="33">
        <v>32</v>
      </c>
      <c r="B36" s="33">
        <f>'Inputs &amp; Summary'!$C$7+32-1</f>
        <v>81</v>
      </c>
      <c r="C36" s="34">
        <f>IF('Inputs &amp; Summary'!$C$22="Steady",'Inputs &amp; Summary'!$C$10,IF('Inputs &amp; Summary'!$C$22="Early crash",IFERROR(VLOOKUP(A36,'Inputs &amp; Summary'!$H$7:$J$16,2,FALSE),'Inputs &amp; Summary'!$C$10),IFERROR(VLOOKUP(A36,'Inputs &amp; Summary'!$H$7:$J$16,3,FALSE),'Inputs &amp; Summary'!$C$10)))</f>
        <v>0.06</v>
      </c>
      <c r="D36" s="35">
        <f t="shared" si="2"/>
        <v>3559611.8442526967</v>
      </c>
      <c r="E36" s="35">
        <f>MIN(E35*(1+'Inputs &amp; Summary'!$C$11),D36)</f>
        <v>350011.24834554916</v>
      </c>
      <c r="F36" s="37">
        <f>E36/(1+'Inputs &amp; Summary'!$C$11)^(32-1)</f>
        <v>140000.00000000012</v>
      </c>
      <c r="G36" s="35">
        <f t="shared" si="0"/>
        <v>192576.03575442886</v>
      </c>
      <c r="H36" s="35">
        <f t="shared" si="1"/>
        <v>3402176.6316615762</v>
      </c>
      <c r="I36" s="37">
        <f>H36/(1+'Inputs &amp; Summary'!$C$11)^(32-1)</f>
        <v>1360826.9182320347</v>
      </c>
    </row>
    <row r="37" spans="1:9" x14ac:dyDescent="0.35">
      <c r="A37" s="9">
        <v>33</v>
      </c>
      <c r="B37" s="9">
        <f>'Inputs &amp; Summary'!$C$7+33-1</f>
        <v>82</v>
      </c>
      <c r="C37" s="27">
        <f>IF('Inputs &amp; Summary'!$C$22="Steady",'Inputs &amp; Summary'!$C$10,IF('Inputs &amp; Summary'!$C$22="Early crash",IFERROR(VLOOKUP(A37,'Inputs &amp; Summary'!$H$7:$J$16,2,FALSE),'Inputs &amp; Summary'!$C$10),IFERROR(VLOOKUP(A37,'Inputs &amp; Summary'!$H$7:$J$16,3,FALSE),'Inputs &amp; Summary'!$C$10)))</f>
        <v>0.06</v>
      </c>
      <c r="D37" s="28">
        <f t="shared" si="2"/>
        <v>3402176.6316615762</v>
      </c>
      <c r="E37" s="28">
        <f>MIN(E36*(1+'Inputs &amp; Summary'!$C$11),D37)</f>
        <v>360511.58579591563</v>
      </c>
      <c r="F37" s="30">
        <f>E37/(1+'Inputs &amp; Summary'!$C$11)^(33-1)</f>
        <v>140000.00000000012</v>
      </c>
      <c r="G37" s="28">
        <f t="shared" si="0"/>
        <v>182499.90275193963</v>
      </c>
      <c r="H37" s="28">
        <f t="shared" si="1"/>
        <v>3224164.9486176004</v>
      </c>
      <c r="I37" s="30">
        <f>H37/(1+'Inputs &amp; Summary'!$C$11)^(33-1)</f>
        <v>1252062.6537145213</v>
      </c>
    </row>
    <row r="38" spans="1:9" x14ac:dyDescent="0.35">
      <c r="A38" s="33">
        <v>34</v>
      </c>
      <c r="B38" s="33">
        <f>'Inputs &amp; Summary'!$C$7+34-1</f>
        <v>83</v>
      </c>
      <c r="C38" s="34">
        <f>IF('Inputs &amp; Summary'!$C$22="Steady",'Inputs &amp; Summary'!$C$10,IF('Inputs &amp; Summary'!$C$22="Early crash",IFERROR(VLOOKUP(A38,'Inputs &amp; Summary'!$H$7:$J$16,2,FALSE),'Inputs &amp; Summary'!$C$10),IFERROR(VLOOKUP(A38,'Inputs &amp; Summary'!$H$7:$J$16,3,FALSE),'Inputs &amp; Summary'!$C$10)))</f>
        <v>0.06</v>
      </c>
      <c r="D38" s="35">
        <f t="shared" si="2"/>
        <v>3224164.9486176004</v>
      </c>
      <c r="E38" s="35">
        <f>MIN(E37*(1+'Inputs &amp; Summary'!$C$11),D38)</f>
        <v>371326.93336979311</v>
      </c>
      <c r="F38" s="37">
        <f>E38/(1+'Inputs &amp; Summary'!$C$11)^(34-1)</f>
        <v>140000.00000000012</v>
      </c>
      <c r="G38" s="35">
        <f t="shared" si="0"/>
        <v>171170.28091486843</v>
      </c>
      <c r="H38" s="35">
        <f t="shared" si="1"/>
        <v>3024008.2961626756</v>
      </c>
      <c r="I38" s="37">
        <f>H38/(1+'Inputs &amp; Summary'!$C$11)^(34-1)</f>
        <v>1140130.4979974683</v>
      </c>
    </row>
    <row r="39" spans="1:9" x14ac:dyDescent="0.35">
      <c r="A39" s="9">
        <v>35</v>
      </c>
      <c r="B39" s="9">
        <f>'Inputs &amp; Summary'!$C$7+35-1</f>
        <v>84</v>
      </c>
      <c r="C39" s="27">
        <f>IF('Inputs &amp; Summary'!$C$22="Steady",'Inputs &amp; Summary'!$C$10,IF('Inputs &amp; Summary'!$C$22="Early crash",IFERROR(VLOOKUP(A39,'Inputs &amp; Summary'!$H$7:$J$16,2,FALSE),'Inputs &amp; Summary'!$C$10),IFERROR(VLOOKUP(A39,'Inputs &amp; Summary'!$H$7:$J$16,3,FALSE),'Inputs &amp; Summary'!$C$10)))</f>
        <v>0.06</v>
      </c>
      <c r="D39" s="28">
        <f t="shared" si="2"/>
        <v>3024008.2961626756</v>
      </c>
      <c r="E39" s="28">
        <f>MIN(E38*(1+'Inputs &amp; Summary'!$C$11),D39)</f>
        <v>382466.74137088691</v>
      </c>
      <c r="F39" s="30">
        <f>E39/(1+'Inputs &amp; Summary'!$C$11)^(35-1)</f>
        <v>140000.00000000015</v>
      </c>
      <c r="G39" s="28">
        <f t="shared" si="0"/>
        <v>158492.4932875073</v>
      </c>
      <c r="H39" s="28">
        <f t="shared" si="1"/>
        <v>2800034.048079296</v>
      </c>
      <c r="I39" s="30">
        <f>H39/(1+'Inputs &amp; Summary'!$C$11)^(35-1)</f>
        <v>1024938.1824051617</v>
      </c>
    </row>
    <row r="40" spans="1:9" x14ac:dyDescent="0.35">
      <c r="A40" s="33">
        <v>36</v>
      </c>
      <c r="B40" s="33">
        <f>'Inputs &amp; Summary'!$C$7+36-1</f>
        <v>85</v>
      </c>
      <c r="C40" s="34">
        <f>IF('Inputs &amp; Summary'!$C$22="Steady",'Inputs &amp; Summary'!$C$10,IF('Inputs &amp; Summary'!$C$22="Early crash",IFERROR(VLOOKUP(A40,'Inputs &amp; Summary'!$H$7:$J$16,2,FALSE),'Inputs &amp; Summary'!$C$10),IFERROR(VLOOKUP(A40,'Inputs &amp; Summary'!$H$7:$J$16,3,FALSE),'Inputs &amp; Summary'!$C$10)))</f>
        <v>0.06</v>
      </c>
      <c r="D40" s="35">
        <f t="shared" si="2"/>
        <v>2800034.048079296</v>
      </c>
      <c r="E40" s="35">
        <f>MIN(E39*(1+'Inputs &amp; Summary'!$C$11),D40)</f>
        <v>393940.74361201352</v>
      </c>
      <c r="F40" s="37">
        <f>E40/(1+'Inputs &amp; Summary'!$C$11)^(36-1)</f>
        <v>140000.00000000015</v>
      </c>
      <c r="G40" s="35">
        <f t="shared" si="0"/>
        <v>144365.59826803693</v>
      </c>
      <c r="H40" s="35">
        <f t="shared" si="1"/>
        <v>2550458.902735319</v>
      </c>
      <c r="I40" s="37">
        <f>H40/(1+'Inputs &amp; Summary'!$C$11)^(36-1)</f>
        <v>906390.75082472898</v>
      </c>
    </row>
    <row r="41" spans="1:9" x14ac:dyDescent="0.35">
      <c r="A41" s="9">
        <v>37</v>
      </c>
      <c r="B41" s="9">
        <f>'Inputs &amp; Summary'!$C$7+37-1</f>
        <v>86</v>
      </c>
      <c r="C41" s="27">
        <f>IF('Inputs &amp; Summary'!$C$22="Steady",'Inputs &amp; Summary'!$C$10,IF('Inputs &amp; Summary'!$C$22="Early crash",IFERROR(VLOOKUP(A41,'Inputs &amp; Summary'!$H$7:$J$16,2,FALSE),'Inputs &amp; Summary'!$C$10),IFERROR(VLOOKUP(A41,'Inputs &amp; Summary'!$H$7:$J$16,3,FALSE),'Inputs &amp; Summary'!$C$10)))</f>
        <v>0.06</v>
      </c>
      <c r="D41" s="28">
        <f t="shared" si="2"/>
        <v>2550458.902735319</v>
      </c>
      <c r="E41" s="28">
        <f>MIN(E40*(1+'Inputs &amp; Summary'!$C$11),D41)</f>
        <v>405758.96592037391</v>
      </c>
      <c r="F41" s="30">
        <f>E41/(1+'Inputs &amp; Summary'!$C$11)^(37-1)</f>
        <v>140000.00000000015</v>
      </c>
      <c r="G41" s="28">
        <f t="shared" si="0"/>
        <v>128681.9962088967</v>
      </c>
      <c r="H41" s="28">
        <f t="shared" si="1"/>
        <v>2273381.9330238421</v>
      </c>
      <c r="I41" s="30">
        <f>H41/(1+'Inputs &amp; Summary'!$C$11)^(37-1)</f>
        <v>784390.48143127444</v>
      </c>
    </row>
    <row r="42" spans="1:9" x14ac:dyDescent="0.35">
      <c r="A42" s="33">
        <v>38</v>
      </c>
      <c r="B42" s="33">
        <f>'Inputs &amp; Summary'!$C$7+38-1</f>
        <v>87</v>
      </c>
      <c r="C42" s="34">
        <f>IF('Inputs &amp; Summary'!$C$22="Steady",'Inputs &amp; Summary'!$C$10,IF('Inputs &amp; Summary'!$C$22="Early crash",IFERROR(VLOOKUP(A42,'Inputs &amp; Summary'!$H$7:$J$16,2,FALSE),'Inputs &amp; Summary'!$C$10),IFERROR(VLOOKUP(A42,'Inputs &amp; Summary'!$H$7:$J$16,3,FALSE),'Inputs &amp; Summary'!$C$10)))</f>
        <v>0.06</v>
      </c>
      <c r="D42" s="35">
        <f t="shared" si="2"/>
        <v>2273381.9330238421</v>
      </c>
      <c r="E42" s="35">
        <f>MIN(E41*(1+'Inputs &amp; Summary'!$C$11),D42)</f>
        <v>417931.73489798512</v>
      </c>
      <c r="F42" s="37">
        <f>E42/(1+'Inputs &amp; Summary'!$C$11)^(38-1)</f>
        <v>140000.00000000015</v>
      </c>
      <c r="G42" s="35">
        <f t="shared" si="0"/>
        <v>111327.01188755142</v>
      </c>
      <c r="H42" s="35">
        <f t="shared" si="1"/>
        <v>1966777.2100134084</v>
      </c>
      <c r="I42" s="37">
        <f>H42/(1+'Inputs &amp; Summary'!$C$11)^(38-1)</f>
        <v>658836.80613315629</v>
      </c>
    </row>
    <row r="43" spans="1:9" x14ac:dyDescent="0.35">
      <c r="A43" s="9">
        <v>39</v>
      </c>
      <c r="B43" s="9">
        <f>'Inputs &amp; Summary'!$C$7+39-1</f>
        <v>88</v>
      </c>
      <c r="C43" s="27">
        <f>IF('Inputs &amp; Summary'!$C$22="Steady",'Inputs &amp; Summary'!$C$10,IF('Inputs &amp; Summary'!$C$22="Early crash",IFERROR(VLOOKUP(A43,'Inputs &amp; Summary'!$H$7:$J$16,2,FALSE),'Inputs &amp; Summary'!$C$10),IFERROR(VLOOKUP(A43,'Inputs &amp; Summary'!$H$7:$J$16,3,FALSE),'Inputs &amp; Summary'!$C$10)))</f>
        <v>0.06</v>
      </c>
      <c r="D43" s="28">
        <f t="shared" si="2"/>
        <v>1966777.2100134084</v>
      </c>
      <c r="E43" s="28">
        <f>MIN(E42*(1+'Inputs &amp; Summary'!$C$11),D43)</f>
        <v>430469.6869449247</v>
      </c>
      <c r="F43" s="30">
        <f>E43/(1+'Inputs &amp; Summary'!$C$11)^(39-1)</f>
        <v>140000.00000000015</v>
      </c>
      <c r="G43" s="28">
        <f t="shared" si="0"/>
        <v>92178.451384109023</v>
      </c>
      <c r="H43" s="28">
        <f t="shared" si="1"/>
        <v>1628485.9744525927</v>
      </c>
      <c r="I43" s="30">
        <f>H43/(1+'Inputs &amp; Summary'!$C$11)^(39-1)</f>
        <v>529626.22767101496</v>
      </c>
    </row>
    <row r="44" spans="1:9" x14ac:dyDescent="0.35">
      <c r="A44" s="33">
        <v>40</v>
      </c>
      <c r="B44" s="33">
        <f>'Inputs &amp; Summary'!$C$7+40-1</f>
        <v>89</v>
      </c>
      <c r="C44" s="34">
        <f>IF('Inputs &amp; Summary'!$C$22="Steady",'Inputs &amp; Summary'!$C$10,IF('Inputs &amp; Summary'!$C$22="Early crash",IFERROR(VLOOKUP(A44,'Inputs &amp; Summary'!$H$7:$J$16,2,FALSE),'Inputs &amp; Summary'!$C$10),IFERROR(VLOOKUP(A44,'Inputs &amp; Summary'!$H$7:$J$16,3,FALSE),'Inputs &amp; Summary'!$C$10)))</f>
        <v>0.06</v>
      </c>
      <c r="D44" s="35">
        <f t="shared" si="2"/>
        <v>1628485.9744525927</v>
      </c>
      <c r="E44" s="35">
        <f>MIN(E43*(1+'Inputs &amp; Summary'!$C$11),D44)</f>
        <v>443383.77755327243</v>
      </c>
      <c r="F44" s="37">
        <f>E44/(1+'Inputs &amp; Summary'!$C$11)^(40-1)</f>
        <v>140000.00000000015</v>
      </c>
      <c r="G44" s="35">
        <f t="shared" si="0"/>
        <v>71106.131813959204</v>
      </c>
      <c r="H44" s="35">
        <f t="shared" si="1"/>
        <v>1256208.3287132795</v>
      </c>
      <c r="I44" s="37">
        <f>H44/(1+'Inputs &amp; Summary'!$C$11)^(40-1)</f>
        <v>396652.23430220934</v>
      </c>
    </row>
    <row r="45" spans="1:9" x14ac:dyDescent="0.35">
      <c r="A45" s="9">
        <v>41</v>
      </c>
      <c r="B45" s="9">
        <f>'Inputs &amp; Summary'!$C$7+41-1</f>
        <v>90</v>
      </c>
      <c r="C45" s="27">
        <f>IF('Inputs &amp; Summary'!$C$22="Steady",'Inputs &amp; Summary'!$C$10,IF('Inputs &amp; Summary'!$C$22="Early crash",IFERROR(VLOOKUP(A45,'Inputs &amp; Summary'!$H$7:$J$16,2,FALSE),'Inputs &amp; Summary'!$C$10),IFERROR(VLOOKUP(A45,'Inputs &amp; Summary'!$H$7:$J$16,3,FALSE),'Inputs &amp; Summary'!$C$10)))</f>
        <v>0.06</v>
      </c>
      <c r="D45" s="28">
        <f t="shared" si="2"/>
        <v>1256208.3287132795</v>
      </c>
      <c r="E45" s="28">
        <f>MIN(E44*(1+'Inputs &amp; Summary'!$C$11),D45)</f>
        <v>456685.29087987059</v>
      </c>
      <c r="F45" s="30">
        <f>E45/(1+'Inputs &amp; Summary'!$C$11)^(41-1)</f>
        <v>140000.00000000015</v>
      </c>
      <c r="G45" s="28">
        <f t="shared" si="0"/>
        <v>47971.382270004535</v>
      </c>
      <c r="H45" s="28">
        <f t="shared" si="1"/>
        <v>847494.4201034134</v>
      </c>
      <c r="I45" s="30">
        <f>H45/(1+'Inputs &amp; Summary'!$C$11)^(41-1)</f>
        <v>259805.21200033187</v>
      </c>
    </row>
    <row r="46" spans="1:9" x14ac:dyDescent="0.35">
      <c r="A46" s="33">
        <v>42</v>
      </c>
      <c r="B46" s="33">
        <f>'Inputs &amp; Summary'!$C$7+42-1</f>
        <v>91</v>
      </c>
      <c r="C46" s="34">
        <f>IF('Inputs &amp; Summary'!$C$22="Steady",'Inputs &amp; Summary'!$C$10,IF('Inputs &amp; Summary'!$C$22="Early crash",IFERROR(VLOOKUP(A46,'Inputs &amp; Summary'!$H$7:$J$16,2,FALSE),'Inputs &amp; Summary'!$C$10),IFERROR(VLOOKUP(A46,'Inputs &amp; Summary'!$H$7:$J$16,3,FALSE),'Inputs &amp; Summary'!$C$10)))</f>
        <v>0.06</v>
      </c>
      <c r="D46" s="35">
        <f t="shared" si="2"/>
        <v>847494.4201034134</v>
      </c>
      <c r="E46" s="35">
        <f>MIN(E45*(1+'Inputs &amp; Summary'!$C$11),D46)</f>
        <v>470385.84960626671</v>
      </c>
      <c r="F46" s="37">
        <f>E46/(1+'Inputs &amp; Summary'!$C$11)^(42-1)</f>
        <v>140000.00000000015</v>
      </c>
      <c r="G46" s="35">
        <f t="shared" si="0"/>
        <v>22626.514229828801</v>
      </c>
      <c r="H46" s="35">
        <f t="shared" si="1"/>
        <v>399735.08472697547</v>
      </c>
      <c r="I46" s="37">
        <f>H46/(1+'Inputs &amp; Summary'!$C$11)^(42-1)</f>
        <v>118972.35409742875</v>
      </c>
    </row>
    <row r="47" spans="1:9" x14ac:dyDescent="0.35">
      <c r="A47" s="9">
        <v>43</v>
      </c>
      <c r="B47" s="9">
        <f>'Inputs &amp; Summary'!$C$7+43-1</f>
        <v>92</v>
      </c>
      <c r="C47" s="27">
        <f>IF('Inputs &amp; Summary'!$C$22="Steady",'Inputs &amp; Summary'!$C$10,IF('Inputs &amp; Summary'!$C$22="Early crash",IFERROR(VLOOKUP(A47,'Inputs &amp; Summary'!$H$7:$J$16,2,FALSE),'Inputs &amp; Summary'!$C$10),IFERROR(VLOOKUP(A47,'Inputs &amp; Summary'!$H$7:$J$16,3,FALSE),'Inputs &amp; Summary'!$C$10)))</f>
        <v>0.06</v>
      </c>
      <c r="D47" s="28">
        <f t="shared" si="2"/>
        <v>399735.08472697547</v>
      </c>
      <c r="E47" s="28">
        <f>MIN(E46*(1+'Inputs &amp; Summary'!$C$11),D47)</f>
        <v>399735.08472697547</v>
      </c>
      <c r="F47" s="30">
        <f>E47/(1+'Inputs &amp; Summary'!$C$11)^(43-1)</f>
        <v>115507.13990041625</v>
      </c>
      <c r="G47" s="28">
        <f t="shared" si="0"/>
        <v>0</v>
      </c>
      <c r="H47" s="28">
        <f t="shared" si="1"/>
        <v>0</v>
      </c>
      <c r="I47" s="30">
        <f>H47/(1+'Inputs &amp; Summary'!$C$11)^(43-1)</f>
        <v>0</v>
      </c>
    </row>
    <row r="48" spans="1:9" x14ac:dyDescent="0.35">
      <c r="A48" s="33">
        <v>44</v>
      </c>
      <c r="B48" s="33">
        <f>'Inputs &amp; Summary'!$C$7+44-1</f>
        <v>93</v>
      </c>
      <c r="C48" s="34">
        <f>IF('Inputs &amp; Summary'!$C$22="Steady",'Inputs &amp; Summary'!$C$10,IF('Inputs &amp; Summary'!$C$22="Early crash",IFERROR(VLOOKUP(A48,'Inputs &amp; Summary'!$H$7:$J$16,2,FALSE),'Inputs &amp; Summary'!$C$10),IFERROR(VLOOKUP(A48,'Inputs &amp; Summary'!$H$7:$J$16,3,FALSE),'Inputs &amp; Summary'!$C$10)))</f>
        <v>0.06</v>
      </c>
      <c r="D48" s="35">
        <f t="shared" si="2"/>
        <v>0</v>
      </c>
      <c r="E48" s="35">
        <f>MIN(E47*(1+'Inputs &amp; Summary'!$C$11),D48)</f>
        <v>0</v>
      </c>
      <c r="F48" s="37">
        <f>E48/(1+'Inputs &amp; Summary'!$C$11)^(44-1)</f>
        <v>0</v>
      </c>
      <c r="G48" s="35">
        <f t="shared" si="0"/>
        <v>0</v>
      </c>
      <c r="H48" s="35">
        <f t="shared" si="1"/>
        <v>0</v>
      </c>
      <c r="I48" s="37">
        <f>H48/(1+'Inputs &amp; Summary'!$C$11)^(44-1)</f>
        <v>0</v>
      </c>
    </row>
    <row r="49" spans="1:9" x14ac:dyDescent="0.35">
      <c r="A49" s="9">
        <v>45</v>
      </c>
      <c r="B49" s="9">
        <f>'Inputs &amp; Summary'!$C$7+45-1</f>
        <v>94</v>
      </c>
      <c r="C49" s="27">
        <f>IF('Inputs &amp; Summary'!$C$22="Steady",'Inputs &amp; Summary'!$C$10,IF('Inputs &amp; Summary'!$C$22="Early crash",IFERROR(VLOOKUP(A49,'Inputs &amp; Summary'!$H$7:$J$16,2,FALSE),'Inputs &amp; Summary'!$C$10),IFERROR(VLOOKUP(A49,'Inputs &amp; Summary'!$H$7:$J$16,3,FALSE),'Inputs &amp; Summary'!$C$10)))</f>
        <v>0.06</v>
      </c>
      <c r="D49" s="28">
        <f t="shared" si="2"/>
        <v>0</v>
      </c>
      <c r="E49" s="28">
        <f>MIN(E48*(1+'Inputs &amp; Summary'!$C$11),D49)</f>
        <v>0</v>
      </c>
      <c r="F49" s="30">
        <f>E49/(1+'Inputs &amp; Summary'!$C$11)^(45-1)</f>
        <v>0</v>
      </c>
      <c r="G49" s="28">
        <f t="shared" si="0"/>
        <v>0</v>
      </c>
      <c r="H49" s="28">
        <f t="shared" si="1"/>
        <v>0</v>
      </c>
      <c r="I49" s="30">
        <f>H49/(1+'Inputs &amp; Summary'!$C$11)^(45-1)</f>
        <v>0</v>
      </c>
    </row>
    <row r="50" spans="1:9" x14ac:dyDescent="0.35">
      <c r="A50" s="33">
        <v>46</v>
      </c>
      <c r="B50" s="33">
        <f>'Inputs &amp; Summary'!$C$7+46-1</f>
        <v>95</v>
      </c>
      <c r="C50" s="34">
        <f>IF('Inputs &amp; Summary'!$C$22="Steady",'Inputs &amp; Summary'!$C$10,IF('Inputs &amp; Summary'!$C$22="Early crash",IFERROR(VLOOKUP(A50,'Inputs &amp; Summary'!$H$7:$J$16,2,FALSE),'Inputs &amp; Summary'!$C$10),IFERROR(VLOOKUP(A50,'Inputs &amp; Summary'!$H$7:$J$16,3,FALSE),'Inputs &amp; Summary'!$C$10)))</f>
        <v>0.06</v>
      </c>
      <c r="D50" s="35">
        <f t="shared" si="2"/>
        <v>0</v>
      </c>
      <c r="E50" s="35">
        <f>MIN(E49*(1+'Inputs &amp; Summary'!$C$11),D50)</f>
        <v>0</v>
      </c>
      <c r="F50" s="37">
        <f>E50/(1+'Inputs &amp; Summary'!$C$11)^(46-1)</f>
        <v>0</v>
      </c>
      <c r="G50" s="35">
        <f t="shared" si="0"/>
        <v>0</v>
      </c>
      <c r="H50" s="35">
        <f t="shared" si="1"/>
        <v>0</v>
      </c>
      <c r="I50" s="37">
        <f>H50/(1+'Inputs &amp; Summary'!$C$11)^(46-1)</f>
        <v>0</v>
      </c>
    </row>
  </sheetData>
  <sheetProtection sheet="1" formatCells="0"/>
  <conditionalFormatting sqref="H5:H50">
    <cfRule type="cellIs" dxfId="0" priority="1" operator="lessThanOrEqual">
      <formula>0</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1"/>
  <sheetViews>
    <sheetView showGridLines="0" workbookViewId="0"/>
  </sheetViews>
  <sheetFormatPr defaultRowHeight="14.5" x14ac:dyDescent="0.35"/>
  <cols>
    <col min="1" max="1" width="10" customWidth="1"/>
    <col min="2" max="2" width="18" customWidth="1"/>
    <col min="3" max="3" width="30" customWidth="1"/>
    <col min="5" max="5" width="12" customWidth="1"/>
    <col min="6" max="6" width="16" customWidth="1"/>
  </cols>
  <sheetData>
    <row r="1" spans="1:6" ht="18" x14ac:dyDescent="0.4">
      <c r="A1" s="26" t="s">
        <v>122</v>
      </c>
    </row>
    <row r="2" spans="1:6" x14ac:dyDescent="0.35">
      <c r="A2" s="5" t="s">
        <v>123</v>
      </c>
    </row>
    <row r="3" spans="1:6" x14ac:dyDescent="0.35">
      <c r="A3" s="20" t="s">
        <v>124</v>
      </c>
    </row>
    <row r="5" spans="1:6" x14ac:dyDescent="0.35">
      <c r="A5" s="8" t="s">
        <v>104</v>
      </c>
      <c r="B5" s="8" t="s">
        <v>105</v>
      </c>
      <c r="C5" s="8" t="s">
        <v>125</v>
      </c>
      <c r="E5" s="8" t="s">
        <v>126</v>
      </c>
      <c r="F5" s="8" t="s">
        <v>127</v>
      </c>
    </row>
    <row r="6" spans="1:6" x14ac:dyDescent="0.35">
      <c r="A6" s="12">
        <v>35</v>
      </c>
      <c r="B6" s="40">
        <f t="shared" ref="B6:B37" si="0">ROUND(INDEX($F$6:$F$17,IFERROR(MATCH(A6,$E$6:$E$17,1),1))+(INDEX($E$6:$E$17,IFERROR(MATCH(A6,$E$6:$E$17,1),1))&lt;&gt;INDEX($E$6:$E$17,MIN(IFERROR(MATCH(A6,$E$6:$E$17,1),1)+1,12)))*(A6-INDEX($E$6:$E$17,IFERROR(MATCH(A6,$E$6:$E$17,1),1)))/MAX(INDEX($E$6:$E$17,MIN(IFERROR(MATCH(A6,$E$6:$E$17,1),1)+1,12))-INDEX($E$6:$E$17,IFERROR(MATCH(A6,$E$6:$E$17,1),1)),1)*(INDEX($F$6:$F$17,MIN(IFERROR(MATCH(A6,$E$6:$E$17,1),1)+1,12))-INDEX($F$6:$F$17,IFERROR(MATCH(A6,$E$6:$E$17,1),1))),1)</f>
        <v>43.6</v>
      </c>
      <c r="C6" s="41" t="str">
        <f>IF(OR(A6=62,A6=67,A6=70),"Anchor (from inputs)",IF(AND(A6&gt;='Inputs &amp; Summary'!$C$25,A6&lt;=70),"Interpolated (calculated)","Extrapolated (calculated)"))</f>
        <v>Extrapolated (calculated)</v>
      </c>
      <c r="E6" s="42">
        <f>'Inputs &amp; Summary'!$C$25</f>
        <v>49</v>
      </c>
      <c r="F6" s="43">
        <f>'Inputs &amp; Summary'!$C$26</f>
        <v>32.6</v>
      </c>
    </row>
    <row r="7" spans="1:6" x14ac:dyDescent="0.35">
      <c r="A7" s="12">
        <v>36</v>
      </c>
      <c r="B7" s="40">
        <f t="shared" si="0"/>
        <v>42.8</v>
      </c>
      <c r="C7" s="41" t="str">
        <f>IF(OR(A7=62,A7=67,A7=70),"Anchor (from inputs)",IF(AND(A7&gt;='Inputs &amp; Summary'!$C$25,A7&lt;=70),"Interpolated (calculated)","Extrapolated (calculated)"))</f>
        <v>Extrapolated (calculated)</v>
      </c>
      <c r="E7" s="44">
        <v>62</v>
      </c>
      <c r="F7" s="43">
        <f>'Inputs &amp; Summary'!$C$27</f>
        <v>22.4</v>
      </c>
    </row>
    <row r="8" spans="1:6" x14ac:dyDescent="0.35">
      <c r="A8" s="12">
        <v>37</v>
      </c>
      <c r="B8" s="40">
        <f t="shared" si="0"/>
        <v>42</v>
      </c>
      <c r="C8" s="41" t="str">
        <f>IF(OR(A8=62,A8=67,A8=70),"Anchor (from inputs)",IF(AND(A8&gt;='Inputs &amp; Summary'!$C$25,A8&lt;=70),"Interpolated (calculated)","Extrapolated (calculated)"))</f>
        <v>Extrapolated (calculated)</v>
      </c>
      <c r="E8" s="44">
        <v>67</v>
      </c>
      <c r="F8" s="43">
        <f>'Inputs &amp; Summary'!$C$28</f>
        <v>18.8</v>
      </c>
    </row>
    <row r="9" spans="1:6" x14ac:dyDescent="0.35">
      <c r="A9" s="12">
        <v>38</v>
      </c>
      <c r="B9" s="40">
        <f t="shared" si="0"/>
        <v>41.2</v>
      </c>
      <c r="C9" s="41" t="str">
        <f>IF(OR(A9=62,A9=67,A9=70),"Anchor (from inputs)",IF(AND(A9&gt;='Inputs &amp; Summary'!$C$25,A9&lt;=70),"Interpolated (calculated)","Extrapolated (calculated)"))</f>
        <v>Extrapolated (calculated)</v>
      </c>
      <c r="E9" s="44">
        <v>70</v>
      </c>
      <c r="F9" s="43">
        <f>'Inputs &amp; Summary'!$C$29</f>
        <v>16.7</v>
      </c>
    </row>
    <row r="10" spans="1:6" x14ac:dyDescent="0.35">
      <c r="A10" s="12">
        <v>39</v>
      </c>
      <c r="B10" s="40">
        <f t="shared" si="0"/>
        <v>40.4</v>
      </c>
      <c r="C10" s="41" t="str">
        <f>IF(OR(A10=62,A10=67,A10=70),"Anchor (from inputs)",IF(AND(A10&gt;='Inputs &amp; Summary'!$C$25,A10&lt;=70),"Interpolated (calculated)","Extrapolated (calculated)"))</f>
        <v>Extrapolated (calculated)</v>
      </c>
      <c r="E10" s="44">
        <v>75</v>
      </c>
      <c r="F10" s="43">
        <f>'Inputs &amp; Summary'!$C$29*0.802</f>
        <v>13.3934</v>
      </c>
    </row>
    <row r="11" spans="1:6" x14ac:dyDescent="0.35">
      <c r="A11" s="12">
        <v>40</v>
      </c>
      <c r="B11" s="40">
        <f t="shared" si="0"/>
        <v>39.700000000000003</v>
      </c>
      <c r="C11" s="41" t="str">
        <f>IF(OR(A11=62,A11=67,A11=70),"Anchor (from inputs)",IF(AND(A11&gt;='Inputs &amp; Summary'!$C$25,A11&lt;=70),"Interpolated (calculated)","Extrapolated (calculated)"))</f>
        <v>Extrapolated (calculated)</v>
      </c>
      <c r="E11" s="44">
        <v>80</v>
      </c>
      <c r="F11" s="43">
        <f>'Inputs &amp; Summary'!$C$29*0.623</f>
        <v>10.4041</v>
      </c>
    </row>
    <row r="12" spans="1:6" x14ac:dyDescent="0.35">
      <c r="A12" s="12">
        <v>41</v>
      </c>
      <c r="B12" s="40">
        <f t="shared" si="0"/>
        <v>38.9</v>
      </c>
      <c r="C12" s="41" t="str">
        <f>IF(OR(A12=62,A12=67,A12=70),"Anchor (from inputs)",IF(AND(A12&gt;='Inputs &amp; Summary'!$C$25,A12&lt;=70),"Interpolated (calculated)","Extrapolated (calculated)"))</f>
        <v>Extrapolated (calculated)</v>
      </c>
      <c r="E12" s="44">
        <v>85</v>
      </c>
      <c r="F12" s="43">
        <f>'Inputs &amp; Summary'!$C$29*0.467</f>
        <v>7.7988999999999997</v>
      </c>
    </row>
    <row r="13" spans="1:6" x14ac:dyDescent="0.35">
      <c r="A13" s="12">
        <v>42</v>
      </c>
      <c r="B13" s="40">
        <f t="shared" si="0"/>
        <v>38.1</v>
      </c>
      <c r="C13" s="41" t="str">
        <f>IF(OR(A13=62,A13=67,A13=70),"Anchor (from inputs)",IF(AND(A13&gt;='Inputs &amp; Summary'!$C$25,A13&lt;=70),"Interpolated (calculated)","Extrapolated (calculated)"))</f>
        <v>Extrapolated (calculated)</v>
      </c>
      <c r="E13" s="44">
        <v>90</v>
      </c>
      <c r="F13" s="43">
        <f>'Inputs &amp; Summary'!$C$29*0.335</f>
        <v>5.5945</v>
      </c>
    </row>
    <row r="14" spans="1:6" x14ac:dyDescent="0.35">
      <c r="A14" s="12">
        <v>43</v>
      </c>
      <c r="B14" s="40">
        <f t="shared" si="0"/>
        <v>37.299999999999997</v>
      </c>
      <c r="C14" s="41" t="str">
        <f>IF(OR(A14=62,A14=67,A14=70),"Anchor (from inputs)",IF(AND(A14&gt;='Inputs &amp; Summary'!$C$25,A14&lt;=70),"Interpolated (calculated)","Extrapolated (calculated)"))</f>
        <v>Extrapolated (calculated)</v>
      </c>
      <c r="E14" s="44">
        <v>95</v>
      </c>
      <c r="F14" s="43">
        <f>'Inputs &amp; Summary'!$C$29*0.234</f>
        <v>3.9077999999999999</v>
      </c>
    </row>
    <row r="15" spans="1:6" x14ac:dyDescent="0.35">
      <c r="A15" s="12">
        <v>44</v>
      </c>
      <c r="B15" s="40">
        <f t="shared" si="0"/>
        <v>36.5</v>
      </c>
      <c r="C15" s="41" t="str">
        <f>IF(OR(A15=62,A15=67,A15=70),"Anchor (from inputs)",IF(AND(A15&gt;='Inputs &amp; Summary'!$C$25,A15&lt;=70),"Interpolated (calculated)","Extrapolated (calculated)"))</f>
        <v>Extrapolated (calculated)</v>
      </c>
      <c r="E15" s="44">
        <v>100</v>
      </c>
      <c r="F15" s="43">
        <f>'Inputs &amp; Summary'!$C$29*0.162</f>
        <v>2.7054</v>
      </c>
    </row>
    <row r="16" spans="1:6" x14ac:dyDescent="0.35">
      <c r="A16" s="12">
        <v>45</v>
      </c>
      <c r="B16" s="40">
        <f t="shared" si="0"/>
        <v>35.700000000000003</v>
      </c>
      <c r="C16" s="41" t="str">
        <f>IF(OR(A16=62,A16=67,A16=70),"Anchor (from inputs)",IF(AND(A16&gt;='Inputs &amp; Summary'!$C$25,A16&lt;=70),"Interpolated (calculated)","Extrapolated (calculated)"))</f>
        <v>Extrapolated (calculated)</v>
      </c>
      <c r="E16" s="44">
        <v>105</v>
      </c>
      <c r="F16" s="43">
        <f>'Inputs &amp; Summary'!$C$29*0.114</f>
        <v>1.9037999999999999</v>
      </c>
    </row>
    <row r="17" spans="1:6" x14ac:dyDescent="0.35">
      <c r="A17" s="12">
        <v>46</v>
      </c>
      <c r="B17" s="40">
        <f t="shared" si="0"/>
        <v>35</v>
      </c>
      <c r="C17" s="41" t="str">
        <f>IF(OR(A17=62,A17=67,A17=70),"Anchor (from inputs)",IF(AND(A17&gt;='Inputs &amp; Summary'!$C$25,A17&lt;=70),"Interpolated (calculated)","Extrapolated (calculated)"))</f>
        <v>Extrapolated (calculated)</v>
      </c>
      <c r="E17" s="44">
        <v>110</v>
      </c>
      <c r="F17" s="43">
        <f>'Inputs &amp; Summary'!$C$29*0.084</f>
        <v>1.4028</v>
      </c>
    </row>
    <row r="18" spans="1:6" x14ac:dyDescent="0.35">
      <c r="A18" s="12">
        <v>47</v>
      </c>
      <c r="B18" s="40">
        <f t="shared" si="0"/>
        <v>34.200000000000003</v>
      </c>
      <c r="C18" s="41" t="str">
        <f>IF(OR(A18=62,A18=67,A18=70),"Anchor (from inputs)",IF(AND(A18&gt;='Inputs &amp; Summary'!$C$25,A18&lt;=70),"Interpolated (calculated)","Extrapolated (calculated)"))</f>
        <v>Extrapolated (calculated)</v>
      </c>
      <c r="E18" s="47" t="s">
        <v>128</v>
      </c>
      <c r="F18" s="48"/>
    </row>
    <row r="19" spans="1:6" x14ac:dyDescent="0.35">
      <c r="A19" s="12">
        <v>48</v>
      </c>
      <c r="B19" s="40">
        <f t="shared" si="0"/>
        <v>33.4</v>
      </c>
      <c r="C19" s="41" t="str">
        <f>IF(OR(A19=62,A19=67,A19=70),"Anchor (from inputs)",IF(AND(A19&gt;='Inputs &amp; Summary'!$C$25,A19&lt;=70),"Interpolated (calculated)","Extrapolated (calculated)"))</f>
        <v>Extrapolated (calculated)</v>
      </c>
    </row>
    <row r="20" spans="1:6" x14ac:dyDescent="0.35">
      <c r="A20" s="12">
        <v>49</v>
      </c>
      <c r="B20" s="40">
        <f t="shared" si="0"/>
        <v>32.6</v>
      </c>
      <c r="C20" s="41" t="str">
        <f>IF(OR(A20=62,A20=67,A20=70),"Anchor (from inputs)",IF(AND(A20&gt;='Inputs &amp; Summary'!$C$25,A20&lt;=70),"Interpolated (calculated)","Extrapolated (calculated)"))</f>
        <v>Interpolated (calculated)</v>
      </c>
    </row>
    <row r="21" spans="1:6" x14ac:dyDescent="0.35">
      <c r="A21" s="12">
        <v>50</v>
      </c>
      <c r="B21" s="40">
        <f t="shared" si="0"/>
        <v>31.8</v>
      </c>
      <c r="C21" s="41" t="str">
        <f>IF(OR(A21=62,A21=67,A21=70),"Anchor (from inputs)",IF(AND(A21&gt;='Inputs &amp; Summary'!$C$25,A21&lt;=70),"Interpolated (calculated)","Extrapolated (calculated)"))</f>
        <v>Interpolated (calculated)</v>
      </c>
    </row>
    <row r="22" spans="1:6" x14ac:dyDescent="0.35">
      <c r="A22" s="12">
        <v>51</v>
      </c>
      <c r="B22" s="40">
        <f t="shared" si="0"/>
        <v>31</v>
      </c>
      <c r="C22" s="41" t="str">
        <f>IF(OR(A22=62,A22=67,A22=70),"Anchor (from inputs)",IF(AND(A22&gt;='Inputs &amp; Summary'!$C$25,A22&lt;=70),"Interpolated (calculated)","Extrapolated (calculated)"))</f>
        <v>Interpolated (calculated)</v>
      </c>
    </row>
    <row r="23" spans="1:6" x14ac:dyDescent="0.35">
      <c r="A23" s="12">
        <v>52</v>
      </c>
      <c r="B23" s="40">
        <f t="shared" si="0"/>
        <v>30.2</v>
      </c>
      <c r="C23" s="41" t="str">
        <f>IF(OR(A23=62,A23=67,A23=70),"Anchor (from inputs)",IF(AND(A23&gt;='Inputs &amp; Summary'!$C$25,A23&lt;=70),"Interpolated (calculated)","Extrapolated (calculated)"))</f>
        <v>Interpolated (calculated)</v>
      </c>
    </row>
    <row r="24" spans="1:6" x14ac:dyDescent="0.35">
      <c r="A24" s="12">
        <v>53</v>
      </c>
      <c r="B24" s="40">
        <f t="shared" si="0"/>
        <v>29.5</v>
      </c>
      <c r="C24" s="41" t="str">
        <f>IF(OR(A24=62,A24=67,A24=70),"Anchor (from inputs)",IF(AND(A24&gt;='Inputs &amp; Summary'!$C$25,A24&lt;=70),"Interpolated (calculated)","Extrapolated (calculated)"))</f>
        <v>Interpolated (calculated)</v>
      </c>
    </row>
    <row r="25" spans="1:6" x14ac:dyDescent="0.35">
      <c r="A25" s="12">
        <v>54</v>
      </c>
      <c r="B25" s="40">
        <f t="shared" si="0"/>
        <v>28.7</v>
      </c>
      <c r="C25" s="41" t="str">
        <f>IF(OR(A25=62,A25=67,A25=70),"Anchor (from inputs)",IF(AND(A25&gt;='Inputs &amp; Summary'!$C$25,A25&lt;=70),"Interpolated (calculated)","Extrapolated (calculated)"))</f>
        <v>Interpolated (calculated)</v>
      </c>
    </row>
    <row r="26" spans="1:6" x14ac:dyDescent="0.35">
      <c r="A26" s="12">
        <v>55</v>
      </c>
      <c r="B26" s="40">
        <f t="shared" si="0"/>
        <v>27.9</v>
      </c>
      <c r="C26" s="41" t="str">
        <f>IF(OR(A26=62,A26=67,A26=70),"Anchor (from inputs)",IF(AND(A26&gt;='Inputs &amp; Summary'!$C$25,A26&lt;=70),"Interpolated (calculated)","Extrapolated (calculated)"))</f>
        <v>Interpolated (calculated)</v>
      </c>
    </row>
    <row r="27" spans="1:6" x14ac:dyDescent="0.35">
      <c r="A27" s="12">
        <v>56</v>
      </c>
      <c r="B27" s="40">
        <f t="shared" si="0"/>
        <v>27.1</v>
      </c>
      <c r="C27" s="41" t="str">
        <f>IF(OR(A27=62,A27=67,A27=70),"Anchor (from inputs)",IF(AND(A27&gt;='Inputs &amp; Summary'!$C$25,A27&lt;=70),"Interpolated (calculated)","Extrapolated (calculated)"))</f>
        <v>Interpolated (calculated)</v>
      </c>
    </row>
    <row r="28" spans="1:6" x14ac:dyDescent="0.35">
      <c r="A28" s="12">
        <v>57</v>
      </c>
      <c r="B28" s="40">
        <f t="shared" si="0"/>
        <v>26.3</v>
      </c>
      <c r="C28" s="41" t="str">
        <f>IF(OR(A28=62,A28=67,A28=70),"Anchor (from inputs)",IF(AND(A28&gt;='Inputs &amp; Summary'!$C$25,A28&lt;=70),"Interpolated (calculated)","Extrapolated (calculated)"))</f>
        <v>Interpolated (calculated)</v>
      </c>
    </row>
    <row r="29" spans="1:6" x14ac:dyDescent="0.35">
      <c r="A29" s="12">
        <v>58</v>
      </c>
      <c r="B29" s="40">
        <f t="shared" si="0"/>
        <v>25.5</v>
      </c>
      <c r="C29" s="41" t="str">
        <f>IF(OR(A29=62,A29=67,A29=70),"Anchor (from inputs)",IF(AND(A29&gt;='Inputs &amp; Summary'!$C$25,A29&lt;=70),"Interpolated (calculated)","Extrapolated (calculated)"))</f>
        <v>Interpolated (calculated)</v>
      </c>
    </row>
    <row r="30" spans="1:6" x14ac:dyDescent="0.35">
      <c r="A30" s="12">
        <v>59</v>
      </c>
      <c r="B30" s="40">
        <f t="shared" si="0"/>
        <v>24.8</v>
      </c>
      <c r="C30" s="41" t="str">
        <f>IF(OR(A30=62,A30=67,A30=70),"Anchor (from inputs)",IF(AND(A30&gt;='Inputs &amp; Summary'!$C$25,A30&lt;=70),"Interpolated (calculated)","Extrapolated (calculated)"))</f>
        <v>Interpolated (calculated)</v>
      </c>
    </row>
    <row r="31" spans="1:6" x14ac:dyDescent="0.35">
      <c r="A31" s="12">
        <v>60</v>
      </c>
      <c r="B31" s="40">
        <f t="shared" si="0"/>
        <v>24</v>
      </c>
      <c r="C31" s="41" t="str">
        <f>IF(OR(A31=62,A31=67,A31=70),"Anchor (from inputs)",IF(AND(A31&gt;='Inputs &amp; Summary'!$C$25,A31&lt;=70),"Interpolated (calculated)","Extrapolated (calculated)"))</f>
        <v>Interpolated (calculated)</v>
      </c>
    </row>
    <row r="32" spans="1:6" x14ac:dyDescent="0.35">
      <c r="A32" s="12">
        <v>61</v>
      </c>
      <c r="B32" s="40">
        <f t="shared" si="0"/>
        <v>23.2</v>
      </c>
      <c r="C32" s="41" t="str">
        <f>IF(OR(A32=62,A32=67,A32=70),"Anchor (from inputs)",IF(AND(A32&gt;='Inputs &amp; Summary'!$C$25,A32&lt;=70),"Interpolated (calculated)","Extrapolated (calculated)"))</f>
        <v>Interpolated (calculated)</v>
      </c>
    </row>
    <row r="33" spans="1:3" x14ac:dyDescent="0.35">
      <c r="A33" s="12">
        <v>62</v>
      </c>
      <c r="B33" s="40">
        <f t="shared" si="0"/>
        <v>22.4</v>
      </c>
      <c r="C33" s="41" t="str">
        <f>IF(OR(A33=62,A33=67,A33=70),"Anchor (from inputs)",IF(AND(A33&gt;='Inputs &amp; Summary'!$C$25,A33&lt;=70),"Interpolated (calculated)","Extrapolated (calculated)"))</f>
        <v>Anchor (from inputs)</v>
      </c>
    </row>
    <row r="34" spans="1:3" x14ac:dyDescent="0.35">
      <c r="A34" s="12">
        <v>63</v>
      </c>
      <c r="B34" s="40">
        <f t="shared" si="0"/>
        <v>21.7</v>
      </c>
      <c r="C34" s="41" t="str">
        <f>IF(OR(A34=62,A34=67,A34=70),"Anchor (from inputs)",IF(AND(A34&gt;='Inputs &amp; Summary'!$C$25,A34&lt;=70),"Interpolated (calculated)","Extrapolated (calculated)"))</f>
        <v>Interpolated (calculated)</v>
      </c>
    </row>
    <row r="35" spans="1:3" x14ac:dyDescent="0.35">
      <c r="A35" s="12">
        <v>64</v>
      </c>
      <c r="B35" s="40">
        <f t="shared" si="0"/>
        <v>21</v>
      </c>
      <c r="C35" s="41" t="str">
        <f>IF(OR(A35=62,A35=67,A35=70),"Anchor (from inputs)",IF(AND(A35&gt;='Inputs &amp; Summary'!$C$25,A35&lt;=70),"Interpolated (calculated)","Extrapolated (calculated)"))</f>
        <v>Interpolated (calculated)</v>
      </c>
    </row>
    <row r="36" spans="1:3" x14ac:dyDescent="0.35">
      <c r="A36" s="12">
        <v>65</v>
      </c>
      <c r="B36" s="40">
        <f t="shared" si="0"/>
        <v>20.2</v>
      </c>
      <c r="C36" s="41" t="str">
        <f>IF(OR(A36=62,A36=67,A36=70),"Anchor (from inputs)",IF(AND(A36&gt;='Inputs &amp; Summary'!$C$25,A36&lt;=70),"Interpolated (calculated)","Extrapolated (calculated)"))</f>
        <v>Interpolated (calculated)</v>
      </c>
    </row>
    <row r="37" spans="1:3" x14ac:dyDescent="0.35">
      <c r="A37" s="12">
        <v>66</v>
      </c>
      <c r="B37" s="40">
        <f t="shared" si="0"/>
        <v>19.5</v>
      </c>
      <c r="C37" s="41" t="str">
        <f>IF(OR(A37=62,A37=67,A37=70),"Anchor (from inputs)",IF(AND(A37&gt;='Inputs &amp; Summary'!$C$25,A37&lt;=70),"Interpolated (calculated)","Extrapolated (calculated)"))</f>
        <v>Interpolated (calculated)</v>
      </c>
    </row>
    <row r="38" spans="1:3" x14ac:dyDescent="0.35">
      <c r="A38" s="12">
        <v>67</v>
      </c>
      <c r="B38" s="40">
        <f t="shared" ref="B38:B69" si="1">ROUND(INDEX($F$6:$F$17,IFERROR(MATCH(A38,$E$6:$E$17,1),1))+(INDEX($E$6:$E$17,IFERROR(MATCH(A38,$E$6:$E$17,1),1))&lt;&gt;INDEX($E$6:$E$17,MIN(IFERROR(MATCH(A38,$E$6:$E$17,1),1)+1,12)))*(A38-INDEX($E$6:$E$17,IFERROR(MATCH(A38,$E$6:$E$17,1),1)))/MAX(INDEX($E$6:$E$17,MIN(IFERROR(MATCH(A38,$E$6:$E$17,1),1)+1,12))-INDEX($E$6:$E$17,IFERROR(MATCH(A38,$E$6:$E$17,1),1)),1)*(INDEX($F$6:$F$17,MIN(IFERROR(MATCH(A38,$E$6:$E$17,1),1)+1,12))-INDEX($F$6:$F$17,IFERROR(MATCH(A38,$E$6:$E$17,1),1))),1)</f>
        <v>18.8</v>
      </c>
      <c r="C38" s="41" t="str">
        <f>IF(OR(A38=62,A38=67,A38=70),"Anchor (from inputs)",IF(AND(A38&gt;='Inputs &amp; Summary'!$C$25,A38&lt;=70),"Interpolated (calculated)","Extrapolated (calculated)"))</f>
        <v>Anchor (from inputs)</v>
      </c>
    </row>
    <row r="39" spans="1:3" x14ac:dyDescent="0.35">
      <c r="A39" s="12">
        <v>68</v>
      </c>
      <c r="B39" s="40">
        <f t="shared" si="1"/>
        <v>18.100000000000001</v>
      </c>
      <c r="C39" s="41" t="str">
        <f>IF(OR(A39=62,A39=67,A39=70),"Anchor (from inputs)",IF(AND(A39&gt;='Inputs &amp; Summary'!$C$25,A39&lt;=70),"Interpolated (calculated)","Extrapolated (calculated)"))</f>
        <v>Interpolated (calculated)</v>
      </c>
    </row>
    <row r="40" spans="1:3" x14ac:dyDescent="0.35">
      <c r="A40" s="12">
        <v>69</v>
      </c>
      <c r="B40" s="40">
        <f t="shared" si="1"/>
        <v>17.399999999999999</v>
      </c>
      <c r="C40" s="41" t="str">
        <f>IF(OR(A40=62,A40=67,A40=70),"Anchor (from inputs)",IF(AND(A40&gt;='Inputs &amp; Summary'!$C$25,A40&lt;=70),"Interpolated (calculated)","Extrapolated (calculated)"))</f>
        <v>Interpolated (calculated)</v>
      </c>
    </row>
    <row r="41" spans="1:3" x14ac:dyDescent="0.35">
      <c r="A41" s="12">
        <v>70</v>
      </c>
      <c r="B41" s="40">
        <f t="shared" si="1"/>
        <v>16.7</v>
      </c>
      <c r="C41" s="41" t="str">
        <f>IF(OR(A41=62,A41=67,A41=70),"Anchor (from inputs)",IF(AND(A41&gt;='Inputs &amp; Summary'!$C$25,A41&lt;=70),"Interpolated (calculated)","Extrapolated (calculated)"))</f>
        <v>Anchor (from inputs)</v>
      </c>
    </row>
    <row r="42" spans="1:3" x14ac:dyDescent="0.35">
      <c r="A42" s="12">
        <v>71</v>
      </c>
      <c r="B42" s="40">
        <f t="shared" si="1"/>
        <v>16</v>
      </c>
      <c r="C42" s="41" t="str">
        <f>IF(OR(A42=62,A42=67,A42=70),"Anchor (from inputs)",IF(AND(A42&gt;='Inputs &amp; Summary'!$C$25,A42&lt;=70),"Interpolated (calculated)","Extrapolated (calculated)"))</f>
        <v>Extrapolated (calculated)</v>
      </c>
    </row>
    <row r="43" spans="1:3" x14ac:dyDescent="0.35">
      <c r="A43" s="12">
        <v>72</v>
      </c>
      <c r="B43" s="40">
        <f t="shared" si="1"/>
        <v>15.4</v>
      </c>
      <c r="C43" s="41" t="str">
        <f>IF(OR(A43=62,A43=67,A43=70),"Anchor (from inputs)",IF(AND(A43&gt;='Inputs &amp; Summary'!$C$25,A43&lt;=70),"Interpolated (calculated)","Extrapolated (calculated)"))</f>
        <v>Extrapolated (calculated)</v>
      </c>
    </row>
    <row r="44" spans="1:3" x14ac:dyDescent="0.35">
      <c r="A44" s="12">
        <v>73</v>
      </c>
      <c r="B44" s="40">
        <f t="shared" si="1"/>
        <v>14.7</v>
      </c>
      <c r="C44" s="41" t="str">
        <f>IF(OR(A44=62,A44=67,A44=70),"Anchor (from inputs)",IF(AND(A44&gt;='Inputs &amp; Summary'!$C$25,A44&lt;=70),"Interpolated (calculated)","Extrapolated (calculated)"))</f>
        <v>Extrapolated (calculated)</v>
      </c>
    </row>
    <row r="45" spans="1:3" x14ac:dyDescent="0.35">
      <c r="A45" s="12">
        <v>74</v>
      </c>
      <c r="B45" s="40">
        <f t="shared" si="1"/>
        <v>14.1</v>
      </c>
      <c r="C45" s="41" t="str">
        <f>IF(OR(A45=62,A45=67,A45=70),"Anchor (from inputs)",IF(AND(A45&gt;='Inputs &amp; Summary'!$C$25,A45&lt;=70),"Interpolated (calculated)","Extrapolated (calculated)"))</f>
        <v>Extrapolated (calculated)</v>
      </c>
    </row>
    <row r="46" spans="1:3" x14ac:dyDescent="0.35">
      <c r="A46" s="12">
        <v>75</v>
      </c>
      <c r="B46" s="40">
        <f t="shared" si="1"/>
        <v>13.4</v>
      </c>
      <c r="C46" s="41" t="str">
        <f>IF(OR(A46=62,A46=67,A46=70),"Anchor (from inputs)",IF(AND(A46&gt;='Inputs &amp; Summary'!$C$25,A46&lt;=70),"Interpolated (calculated)","Extrapolated (calculated)"))</f>
        <v>Extrapolated (calculated)</v>
      </c>
    </row>
    <row r="47" spans="1:3" x14ac:dyDescent="0.35">
      <c r="A47" s="12">
        <v>76</v>
      </c>
      <c r="B47" s="40">
        <f t="shared" si="1"/>
        <v>12.8</v>
      </c>
      <c r="C47" s="41" t="str">
        <f>IF(OR(A47=62,A47=67,A47=70),"Anchor (from inputs)",IF(AND(A47&gt;='Inputs &amp; Summary'!$C$25,A47&lt;=70),"Interpolated (calculated)","Extrapolated (calculated)"))</f>
        <v>Extrapolated (calculated)</v>
      </c>
    </row>
    <row r="48" spans="1:3" x14ac:dyDescent="0.35">
      <c r="A48" s="12">
        <v>77</v>
      </c>
      <c r="B48" s="40">
        <f t="shared" si="1"/>
        <v>12.2</v>
      </c>
      <c r="C48" s="41" t="str">
        <f>IF(OR(A48=62,A48=67,A48=70),"Anchor (from inputs)",IF(AND(A48&gt;='Inputs &amp; Summary'!$C$25,A48&lt;=70),"Interpolated (calculated)","Extrapolated (calculated)"))</f>
        <v>Extrapolated (calculated)</v>
      </c>
    </row>
    <row r="49" spans="1:3" x14ac:dyDescent="0.35">
      <c r="A49" s="12">
        <v>78</v>
      </c>
      <c r="B49" s="40">
        <f t="shared" si="1"/>
        <v>11.6</v>
      </c>
      <c r="C49" s="41" t="str">
        <f>IF(OR(A49=62,A49=67,A49=70),"Anchor (from inputs)",IF(AND(A49&gt;='Inputs &amp; Summary'!$C$25,A49&lt;=70),"Interpolated (calculated)","Extrapolated (calculated)"))</f>
        <v>Extrapolated (calculated)</v>
      </c>
    </row>
    <row r="50" spans="1:3" x14ac:dyDescent="0.35">
      <c r="A50" s="12">
        <v>79</v>
      </c>
      <c r="B50" s="40">
        <f t="shared" si="1"/>
        <v>11</v>
      </c>
      <c r="C50" s="41" t="str">
        <f>IF(OR(A50=62,A50=67,A50=70),"Anchor (from inputs)",IF(AND(A50&gt;='Inputs &amp; Summary'!$C$25,A50&lt;=70),"Interpolated (calculated)","Extrapolated (calculated)"))</f>
        <v>Extrapolated (calculated)</v>
      </c>
    </row>
    <row r="51" spans="1:3" x14ac:dyDescent="0.35">
      <c r="A51" s="12">
        <v>80</v>
      </c>
      <c r="B51" s="40">
        <f t="shared" si="1"/>
        <v>10.4</v>
      </c>
      <c r="C51" s="41" t="str">
        <f>IF(OR(A51=62,A51=67,A51=70),"Anchor (from inputs)",IF(AND(A51&gt;='Inputs &amp; Summary'!$C$25,A51&lt;=70),"Interpolated (calculated)","Extrapolated (calculated)"))</f>
        <v>Extrapolated (calculated)</v>
      </c>
    </row>
    <row r="52" spans="1:3" x14ac:dyDescent="0.35">
      <c r="A52" s="12">
        <v>81</v>
      </c>
      <c r="B52" s="40">
        <f t="shared" si="1"/>
        <v>9.9</v>
      </c>
      <c r="C52" s="41" t="str">
        <f>IF(OR(A52=62,A52=67,A52=70),"Anchor (from inputs)",IF(AND(A52&gt;='Inputs &amp; Summary'!$C$25,A52&lt;=70),"Interpolated (calculated)","Extrapolated (calculated)"))</f>
        <v>Extrapolated (calculated)</v>
      </c>
    </row>
    <row r="53" spans="1:3" x14ac:dyDescent="0.35">
      <c r="A53" s="12">
        <v>82</v>
      </c>
      <c r="B53" s="40">
        <f t="shared" si="1"/>
        <v>9.4</v>
      </c>
      <c r="C53" s="41" t="str">
        <f>IF(OR(A53=62,A53=67,A53=70),"Anchor (from inputs)",IF(AND(A53&gt;='Inputs &amp; Summary'!$C$25,A53&lt;=70),"Interpolated (calculated)","Extrapolated (calculated)"))</f>
        <v>Extrapolated (calculated)</v>
      </c>
    </row>
    <row r="54" spans="1:3" x14ac:dyDescent="0.35">
      <c r="A54" s="12">
        <v>83</v>
      </c>
      <c r="B54" s="40">
        <f t="shared" si="1"/>
        <v>8.8000000000000007</v>
      </c>
      <c r="C54" s="41" t="str">
        <f>IF(OR(A54=62,A54=67,A54=70),"Anchor (from inputs)",IF(AND(A54&gt;='Inputs &amp; Summary'!$C$25,A54&lt;=70),"Interpolated (calculated)","Extrapolated (calculated)"))</f>
        <v>Extrapolated (calculated)</v>
      </c>
    </row>
    <row r="55" spans="1:3" x14ac:dyDescent="0.35">
      <c r="A55" s="12">
        <v>84</v>
      </c>
      <c r="B55" s="40">
        <f t="shared" si="1"/>
        <v>8.3000000000000007</v>
      </c>
      <c r="C55" s="41" t="str">
        <f>IF(OR(A55=62,A55=67,A55=70),"Anchor (from inputs)",IF(AND(A55&gt;='Inputs &amp; Summary'!$C$25,A55&lt;=70),"Interpolated (calculated)","Extrapolated (calculated)"))</f>
        <v>Extrapolated (calculated)</v>
      </c>
    </row>
    <row r="56" spans="1:3" x14ac:dyDescent="0.35">
      <c r="A56" s="12">
        <v>85</v>
      </c>
      <c r="B56" s="40">
        <f t="shared" si="1"/>
        <v>7.8</v>
      </c>
      <c r="C56" s="41" t="str">
        <f>IF(OR(A56=62,A56=67,A56=70),"Anchor (from inputs)",IF(AND(A56&gt;='Inputs &amp; Summary'!$C$25,A56&lt;=70),"Interpolated (calculated)","Extrapolated (calculated)"))</f>
        <v>Extrapolated (calculated)</v>
      </c>
    </row>
    <row r="57" spans="1:3" x14ac:dyDescent="0.35">
      <c r="A57" s="12">
        <v>86</v>
      </c>
      <c r="B57" s="40">
        <f t="shared" si="1"/>
        <v>7.4</v>
      </c>
      <c r="C57" s="41" t="str">
        <f>IF(OR(A57=62,A57=67,A57=70),"Anchor (from inputs)",IF(AND(A57&gt;='Inputs &amp; Summary'!$C$25,A57&lt;=70),"Interpolated (calculated)","Extrapolated (calculated)"))</f>
        <v>Extrapolated (calculated)</v>
      </c>
    </row>
    <row r="58" spans="1:3" x14ac:dyDescent="0.35">
      <c r="A58" s="12">
        <v>87</v>
      </c>
      <c r="B58" s="40">
        <f t="shared" si="1"/>
        <v>6.9</v>
      </c>
      <c r="C58" s="41" t="str">
        <f>IF(OR(A58=62,A58=67,A58=70),"Anchor (from inputs)",IF(AND(A58&gt;='Inputs &amp; Summary'!$C$25,A58&lt;=70),"Interpolated (calculated)","Extrapolated (calculated)"))</f>
        <v>Extrapolated (calculated)</v>
      </c>
    </row>
    <row r="59" spans="1:3" x14ac:dyDescent="0.35">
      <c r="A59" s="12">
        <v>88</v>
      </c>
      <c r="B59" s="40">
        <f t="shared" si="1"/>
        <v>6.5</v>
      </c>
      <c r="C59" s="41" t="str">
        <f>IF(OR(A59=62,A59=67,A59=70),"Anchor (from inputs)",IF(AND(A59&gt;='Inputs &amp; Summary'!$C$25,A59&lt;=70),"Interpolated (calculated)","Extrapolated (calculated)"))</f>
        <v>Extrapolated (calculated)</v>
      </c>
    </row>
    <row r="60" spans="1:3" x14ac:dyDescent="0.35">
      <c r="A60" s="12">
        <v>89</v>
      </c>
      <c r="B60" s="40">
        <f t="shared" si="1"/>
        <v>6</v>
      </c>
      <c r="C60" s="41" t="str">
        <f>IF(OR(A60=62,A60=67,A60=70),"Anchor (from inputs)",IF(AND(A60&gt;='Inputs &amp; Summary'!$C$25,A60&lt;=70),"Interpolated (calculated)","Extrapolated (calculated)"))</f>
        <v>Extrapolated (calculated)</v>
      </c>
    </row>
    <row r="61" spans="1:3" x14ac:dyDescent="0.35">
      <c r="A61" s="12">
        <v>90</v>
      </c>
      <c r="B61" s="40">
        <f t="shared" si="1"/>
        <v>5.6</v>
      </c>
      <c r="C61" s="41" t="str">
        <f>IF(OR(A61=62,A61=67,A61=70),"Anchor (from inputs)",IF(AND(A61&gt;='Inputs &amp; Summary'!$C$25,A61&lt;=70),"Interpolated (calculated)","Extrapolated (calculated)"))</f>
        <v>Extrapolated (calculated)</v>
      </c>
    </row>
    <row r="62" spans="1:3" x14ac:dyDescent="0.35">
      <c r="A62" s="12">
        <v>91</v>
      </c>
      <c r="B62" s="40">
        <f t="shared" si="1"/>
        <v>5.3</v>
      </c>
      <c r="C62" s="41" t="str">
        <f>IF(OR(A62=62,A62=67,A62=70),"Anchor (from inputs)",IF(AND(A62&gt;='Inputs &amp; Summary'!$C$25,A62&lt;=70),"Interpolated (calculated)","Extrapolated (calculated)"))</f>
        <v>Extrapolated (calculated)</v>
      </c>
    </row>
    <row r="63" spans="1:3" x14ac:dyDescent="0.35">
      <c r="A63" s="12">
        <v>92</v>
      </c>
      <c r="B63" s="40">
        <f t="shared" si="1"/>
        <v>4.9000000000000004</v>
      </c>
      <c r="C63" s="41" t="str">
        <f>IF(OR(A63=62,A63=67,A63=70),"Anchor (from inputs)",IF(AND(A63&gt;='Inputs &amp; Summary'!$C$25,A63&lt;=70),"Interpolated (calculated)","Extrapolated (calculated)"))</f>
        <v>Extrapolated (calculated)</v>
      </c>
    </row>
    <row r="64" spans="1:3" x14ac:dyDescent="0.35">
      <c r="A64" s="12">
        <v>93</v>
      </c>
      <c r="B64" s="40">
        <f t="shared" si="1"/>
        <v>4.5999999999999996</v>
      </c>
      <c r="C64" s="41" t="str">
        <f>IF(OR(A64=62,A64=67,A64=70),"Anchor (from inputs)",IF(AND(A64&gt;='Inputs &amp; Summary'!$C$25,A64&lt;=70),"Interpolated (calculated)","Extrapolated (calculated)"))</f>
        <v>Extrapolated (calculated)</v>
      </c>
    </row>
    <row r="65" spans="1:3" x14ac:dyDescent="0.35">
      <c r="A65" s="12">
        <v>94</v>
      </c>
      <c r="B65" s="40">
        <f t="shared" si="1"/>
        <v>4.2</v>
      </c>
      <c r="C65" s="41" t="str">
        <f>IF(OR(A65=62,A65=67,A65=70),"Anchor (from inputs)",IF(AND(A65&gt;='Inputs &amp; Summary'!$C$25,A65&lt;=70),"Interpolated (calculated)","Extrapolated (calculated)"))</f>
        <v>Extrapolated (calculated)</v>
      </c>
    </row>
    <row r="66" spans="1:3" x14ac:dyDescent="0.35">
      <c r="A66" s="12">
        <v>95</v>
      </c>
      <c r="B66" s="40">
        <f t="shared" si="1"/>
        <v>3.9</v>
      </c>
      <c r="C66" s="41" t="str">
        <f>IF(OR(A66=62,A66=67,A66=70),"Anchor (from inputs)",IF(AND(A66&gt;='Inputs &amp; Summary'!$C$25,A66&lt;=70),"Interpolated (calculated)","Extrapolated (calculated)"))</f>
        <v>Extrapolated (calculated)</v>
      </c>
    </row>
    <row r="67" spans="1:3" x14ac:dyDescent="0.35">
      <c r="A67" s="12">
        <v>96</v>
      </c>
      <c r="B67" s="40">
        <f t="shared" si="1"/>
        <v>3.7</v>
      </c>
      <c r="C67" s="41" t="str">
        <f>IF(OR(A67=62,A67=67,A67=70),"Anchor (from inputs)",IF(AND(A67&gt;='Inputs &amp; Summary'!$C$25,A67&lt;=70),"Interpolated (calculated)","Extrapolated (calculated)"))</f>
        <v>Extrapolated (calculated)</v>
      </c>
    </row>
    <row r="68" spans="1:3" x14ac:dyDescent="0.35">
      <c r="A68" s="12">
        <v>97</v>
      </c>
      <c r="B68" s="40">
        <f t="shared" si="1"/>
        <v>3.4</v>
      </c>
      <c r="C68" s="41" t="str">
        <f>IF(OR(A68=62,A68=67,A68=70),"Anchor (from inputs)",IF(AND(A68&gt;='Inputs &amp; Summary'!$C$25,A68&lt;=70),"Interpolated (calculated)","Extrapolated (calculated)"))</f>
        <v>Extrapolated (calculated)</v>
      </c>
    </row>
    <row r="69" spans="1:3" x14ac:dyDescent="0.35">
      <c r="A69" s="12">
        <v>98</v>
      </c>
      <c r="B69" s="40">
        <f t="shared" si="1"/>
        <v>3.2</v>
      </c>
      <c r="C69" s="41" t="str">
        <f>IF(OR(A69=62,A69=67,A69=70),"Anchor (from inputs)",IF(AND(A69&gt;='Inputs &amp; Summary'!$C$25,A69&lt;=70),"Interpolated (calculated)","Extrapolated (calculated)"))</f>
        <v>Extrapolated (calculated)</v>
      </c>
    </row>
    <row r="70" spans="1:3" x14ac:dyDescent="0.35">
      <c r="A70" s="12">
        <v>99</v>
      </c>
      <c r="B70" s="40">
        <f t="shared" ref="B70:B81" si="2">ROUND(INDEX($F$6:$F$17,IFERROR(MATCH(A70,$E$6:$E$17,1),1))+(INDEX($E$6:$E$17,IFERROR(MATCH(A70,$E$6:$E$17,1),1))&lt;&gt;INDEX($E$6:$E$17,MIN(IFERROR(MATCH(A70,$E$6:$E$17,1),1)+1,12)))*(A70-INDEX($E$6:$E$17,IFERROR(MATCH(A70,$E$6:$E$17,1),1)))/MAX(INDEX($E$6:$E$17,MIN(IFERROR(MATCH(A70,$E$6:$E$17,1),1)+1,12))-INDEX($E$6:$E$17,IFERROR(MATCH(A70,$E$6:$E$17,1),1)),1)*(INDEX($F$6:$F$17,MIN(IFERROR(MATCH(A70,$E$6:$E$17,1),1)+1,12))-INDEX($F$6:$F$17,IFERROR(MATCH(A70,$E$6:$E$17,1),1))),1)</f>
        <v>2.9</v>
      </c>
      <c r="C70" s="41" t="str">
        <f>IF(OR(A70=62,A70=67,A70=70),"Anchor (from inputs)",IF(AND(A70&gt;='Inputs &amp; Summary'!$C$25,A70&lt;=70),"Interpolated (calculated)","Extrapolated (calculated)"))</f>
        <v>Extrapolated (calculated)</v>
      </c>
    </row>
    <row r="71" spans="1:3" x14ac:dyDescent="0.35">
      <c r="A71" s="12">
        <v>100</v>
      </c>
      <c r="B71" s="40">
        <f t="shared" si="2"/>
        <v>2.7</v>
      </c>
      <c r="C71" s="41" t="str">
        <f>IF(OR(A71=62,A71=67,A71=70),"Anchor (from inputs)",IF(AND(A71&gt;='Inputs &amp; Summary'!$C$25,A71&lt;=70),"Interpolated (calculated)","Extrapolated (calculated)"))</f>
        <v>Extrapolated (calculated)</v>
      </c>
    </row>
    <row r="72" spans="1:3" x14ac:dyDescent="0.35">
      <c r="A72" s="12">
        <v>101</v>
      </c>
      <c r="B72" s="40">
        <f t="shared" si="2"/>
        <v>2.5</v>
      </c>
      <c r="C72" s="41" t="str">
        <f>IF(OR(A72=62,A72=67,A72=70),"Anchor (from inputs)",IF(AND(A72&gt;='Inputs &amp; Summary'!$C$25,A72&lt;=70),"Interpolated (calculated)","Extrapolated (calculated)"))</f>
        <v>Extrapolated (calculated)</v>
      </c>
    </row>
    <row r="73" spans="1:3" x14ac:dyDescent="0.35">
      <c r="A73" s="12">
        <v>102</v>
      </c>
      <c r="B73" s="40">
        <f t="shared" si="2"/>
        <v>2.4</v>
      </c>
      <c r="C73" s="41" t="str">
        <f>IF(OR(A73=62,A73=67,A73=70),"Anchor (from inputs)",IF(AND(A73&gt;='Inputs &amp; Summary'!$C$25,A73&lt;=70),"Interpolated (calculated)","Extrapolated (calculated)"))</f>
        <v>Extrapolated (calculated)</v>
      </c>
    </row>
    <row r="74" spans="1:3" x14ac:dyDescent="0.35">
      <c r="A74" s="12">
        <v>103</v>
      </c>
      <c r="B74" s="40">
        <f t="shared" si="2"/>
        <v>2.2000000000000002</v>
      </c>
      <c r="C74" s="41" t="str">
        <f>IF(OR(A74=62,A74=67,A74=70),"Anchor (from inputs)",IF(AND(A74&gt;='Inputs &amp; Summary'!$C$25,A74&lt;=70),"Interpolated (calculated)","Extrapolated (calculated)"))</f>
        <v>Extrapolated (calculated)</v>
      </c>
    </row>
    <row r="75" spans="1:3" x14ac:dyDescent="0.35">
      <c r="A75" s="12">
        <v>104</v>
      </c>
      <c r="B75" s="40">
        <f t="shared" si="2"/>
        <v>2.1</v>
      </c>
      <c r="C75" s="41" t="str">
        <f>IF(OR(A75=62,A75=67,A75=70),"Anchor (from inputs)",IF(AND(A75&gt;='Inputs &amp; Summary'!$C$25,A75&lt;=70),"Interpolated (calculated)","Extrapolated (calculated)"))</f>
        <v>Extrapolated (calculated)</v>
      </c>
    </row>
    <row r="76" spans="1:3" x14ac:dyDescent="0.35">
      <c r="A76" s="12">
        <v>105</v>
      </c>
      <c r="B76" s="40">
        <f t="shared" si="2"/>
        <v>1.9</v>
      </c>
      <c r="C76" s="41" t="str">
        <f>IF(OR(A76=62,A76=67,A76=70),"Anchor (from inputs)",IF(AND(A76&gt;='Inputs &amp; Summary'!$C$25,A76&lt;=70),"Interpolated (calculated)","Extrapolated (calculated)"))</f>
        <v>Extrapolated (calculated)</v>
      </c>
    </row>
    <row r="77" spans="1:3" x14ac:dyDescent="0.35">
      <c r="A77" s="12">
        <v>106</v>
      </c>
      <c r="B77" s="40">
        <f t="shared" si="2"/>
        <v>1.8</v>
      </c>
      <c r="C77" s="41" t="str">
        <f>IF(OR(A77=62,A77=67,A77=70),"Anchor (from inputs)",IF(AND(A77&gt;='Inputs &amp; Summary'!$C$25,A77&lt;=70),"Interpolated (calculated)","Extrapolated (calculated)"))</f>
        <v>Extrapolated (calculated)</v>
      </c>
    </row>
    <row r="78" spans="1:3" x14ac:dyDescent="0.35">
      <c r="A78" s="12">
        <v>107</v>
      </c>
      <c r="B78" s="40">
        <f t="shared" si="2"/>
        <v>1.7</v>
      </c>
      <c r="C78" s="41" t="str">
        <f>IF(OR(A78=62,A78=67,A78=70),"Anchor (from inputs)",IF(AND(A78&gt;='Inputs &amp; Summary'!$C$25,A78&lt;=70),"Interpolated (calculated)","Extrapolated (calculated)"))</f>
        <v>Extrapolated (calculated)</v>
      </c>
    </row>
    <row r="79" spans="1:3" x14ac:dyDescent="0.35">
      <c r="A79" s="12">
        <v>108</v>
      </c>
      <c r="B79" s="40">
        <f t="shared" si="2"/>
        <v>1.6</v>
      </c>
      <c r="C79" s="41" t="str">
        <f>IF(OR(A79=62,A79=67,A79=70),"Anchor (from inputs)",IF(AND(A79&gt;='Inputs &amp; Summary'!$C$25,A79&lt;=70),"Interpolated (calculated)","Extrapolated (calculated)"))</f>
        <v>Extrapolated (calculated)</v>
      </c>
    </row>
    <row r="80" spans="1:3" x14ac:dyDescent="0.35">
      <c r="A80" s="12">
        <v>109</v>
      </c>
      <c r="B80" s="40">
        <f t="shared" si="2"/>
        <v>1.5</v>
      </c>
      <c r="C80" s="41" t="str">
        <f>IF(OR(A80=62,A80=67,A80=70),"Anchor (from inputs)",IF(AND(A80&gt;='Inputs &amp; Summary'!$C$25,A80&lt;=70),"Interpolated (calculated)","Extrapolated (calculated)"))</f>
        <v>Extrapolated (calculated)</v>
      </c>
    </row>
    <row r="81" spans="1:3" x14ac:dyDescent="0.35">
      <c r="A81" s="12">
        <v>110</v>
      </c>
      <c r="B81" s="40">
        <f t="shared" si="2"/>
        <v>1.4</v>
      </c>
      <c r="C81" s="41" t="str">
        <f>IF(OR(A81=62,A81=67,A81=70),"Anchor (from inputs)",IF(AND(A81&gt;='Inputs &amp; Summary'!$C$25,A81&lt;=70),"Interpolated (calculated)","Extrapolated (calculated)"))</f>
        <v>Extrapolated (calculated)</v>
      </c>
    </row>
  </sheetData>
  <sheetProtection sheet="1" formatCells="0"/>
  <mergeCells count="1">
    <mergeCell ref="E18:F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36"/>
  <sheetViews>
    <sheetView showGridLines="0" workbookViewId="0"/>
  </sheetViews>
  <sheetFormatPr defaultRowHeight="14.5" x14ac:dyDescent="0.35"/>
  <cols>
    <col min="1" max="1" width="3" customWidth="1"/>
    <col min="2" max="2" width="110" customWidth="1"/>
  </cols>
  <sheetData>
    <row r="2" spans="2:2" ht="26" customHeight="1" x14ac:dyDescent="0.35">
      <c r="B2" s="1" t="s">
        <v>129</v>
      </c>
    </row>
    <row r="3" spans="2:2" x14ac:dyDescent="0.35">
      <c r="B3" s="45" t="s">
        <v>130</v>
      </c>
    </row>
    <row r="4" spans="2:2" x14ac:dyDescent="0.35">
      <c r="B4" s="46" t="s">
        <v>131</v>
      </c>
    </row>
    <row r="6" spans="2:2" ht="19" customHeight="1" x14ac:dyDescent="0.35">
      <c r="B6" s="2" t="s">
        <v>132</v>
      </c>
    </row>
    <row r="7" spans="2:2" ht="34" customHeight="1" x14ac:dyDescent="0.35">
      <c r="B7" s="2" t="s">
        <v>133</v>
      </c>
    </row>
    <row r="8" spans="2:2" ht="49" customHeight="1" x14ac:dyDescent="0.35">
      <c r="B8" s="2" t="s">
        <v>134</v>
      </c>
    </row>
    <row r="9" spans="2:2" ht="49" customHeight="1" x14ac:dyDescent="0.35">
      <c r="B9" s="2" t="s">
        <v>135</v>
      </c>
    </row>
    <row r="10" spans="2:2" ht="19" customHeight="1" x14ac:dyDescent="0.35">
      <c r="B10" s="2" t="s">
        <v>136</v>
      </c>
    </row>
    <row r="11" spans="2:2" ht="79" customHeight="1" x14ac:dyDescent="0.35">
      <c r="B11" s="2" t="s">
        <v>137</v>
      </c>
    </row>
    <row r="12" spans="2:2" ht="94" customHeight="1" x14ac:dyDescent="0.35">
      <c r="B12" s="2" t="s">
        <v>138</v>
      </c>
    </row>
    <row r="13" spans="2:2" ht="49" customHeight="1" x14ac:dyDescent="0.35">
      <c r="B13" s="2" t="s">
        <v>139</v>
      </c>
    </row>
    <row r="15" spans="2:2" ht="22" customHeight="1" x14ac:dyDescent="0.35">
      <c r="B15" s="3" t="s">
        <v>140</v>
      </c>
    </row>
    <row r="16" spans="2:2" ht="34" customHeight="1" x14ac:dyDescent="0.35">
      <c r="B16" s="2" t="s">
        <v>141</v>
      </c>
    </row>
    <row r="17" spans="2:2" ht="94" customHeight="1" x14ac:dyDescent="0.35">
      <c r="B17" s="2" t="s">
        <v>142</v>
      </c>
    </row>
    <row r="18" spans="2:2" ht="64" customHeight="1" x14ac:dyDescent="0.35">
      <c r="B18" s="2" t="s">
        <v>143</v>
      </c>
    </row>
    <row r="19" spans="2:2" ht="34" customHeight="1" x14ac:dyDescent="0.35">
      <c r="B19" s="2" t="s">
        <v>144</v>
      </c>
    </row>
    <row r="21" spans="2:2" ht="22" customHeight="1" x14ac:dyDescent="0.35">
      <c r="B21" s="3" t="s">
        <v>145</v>
      </c>
    </row>
    <row r="22" spans="2:2" ht="19" customHeight="1" x14ac:dyDescent="0.35">
      <c r="B22" s="2" t="s">
        <v>146</v>
      </c>
    </row>
    <row r="23" spans="2:2" ht="49" customHeight="1" x14ac:dyDescent="0.35">
      <c r="B23" s="2" t="s">
        <v>147</v>
      </c>
    </row>
    <row r="24" spans="2:2" ht="49" customHeight="1" x14ac:dyDescent="0.35">
      <c r="B24" s="2" t="s">
        <v>148</v>
      </c>
    </row>
    <row r="25" spans="2:2" ht="64" customHeight="1" x14ac:dyDescent="0.35">
      <c r="B25" s="2" t="s">
        <v>149</v>
      </c>
    </row>
    <row r="26" spans="2:2" ht="49" customHeight="1" x14ac:dyDescent="0.35">
      <c r="B26" s="2" t="s">
        <v>150</v>
      </c>
    </row>
    <row r="27" spans="2:2" ht="19" customHeight="1" x14ac:dyDescent="0.35">
      <c r="B27" s="2" t="s">
        <v>151</v>
      </c>
    </row>
    <row r="28" spans="2:2" ht="49" customHeight="1" x14ac:dyDescent="0.35">
      <c r="B28" s="2" t="s">
        <v>152</v>
      </c>
    </row>
    <row r="30" spans="2:2" ht="22" customHeight="1" x14ac:dyDescent="0.35">
      <c r="B30" s="3" t="s">
        <v>153</v>
      </c>
    </row>
    <row r="31" spans="2:2" ht="49" customHeight="1" x14ac:dyDescent="0.35">
      <c r="B31" s="2" t="s">
        <v>154</v>
      </c>
    </row>
    <row r="32" spans="2:2" ht="19" customHeight="1" x14ac:dyDescent="0.35">
      <c r="B32" s="2" t="s">
        <v>155</v>
      </c>
    </row>
    <row r="33" spans="2:2" ht="64" customHeight="1" x14ac:dyDescent="0.35">
      <c r="B33" s="2" t="s">
        <v>156</v>
      </c>
    </row>
    <row r="34" spans="2:2" ht="49" customHeight="1" x14ac:dyDescent="0.35">
      <c r="B34" s="2" t="s">
        <v>157</v>
      </c>
    </row>
    <row r="35" spans="2:2" ht="64" customHeight="1" x14ac:dyDescent="0.35">
      <c r="B35" s="2" t="s">
        <v>158</v>
      </c>
    </row>
    <row r="36" spans="2:2" ht="34" customHeight="1" x14ac:dyDescent="0.35">
      <c r="B36" s="2" t="s">
        <v>159</v>
      </c>
    </row>
  </sheetData>
  <sheetProtection sheet="1" formatCells="0"/>
  <hyperlinks>
    <hyperlink ref="B4" r:id="rId1" xr:uid="{00000000-0004-0000-0500-000000000000}"/>
  </hyperlinks>
  <pageMargins left="0.75" right="0.75" top="1" bottom="1" header="0.5" footer="0.5"/>
</worksheet>
</file>

<file path=docMetadata/LabelInfo.xml><?xml version="1.0" encoding="utf-8"?>
<clbl:labelList xmlns:clbl="http://schemas.microsoft.com/office/2020/mipLabelMetadata">
  <clbl:label id="{87ba5c36-b7cf-4793-bbc2-bd5b3a9f95ca}"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Inputs &amp; Summary</vt:lpstr>
      <vt:lpstr>Dynamic Strategy</vt:lpstr>
      <vt:lpstr>4% Rule</vt:lpstr>
      <vt:lpstr>Life Expectancy</vt:lpstr>
      <vt:lpstr>Article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Retirement Withdrawal Strategies Planner</dc:title>
  <dc:creator>Retirement Planner</dc:creator>
  <dc:description>Educational 4% rule vs. dynamic withdrawal planner.</dc:description>
  <cp:lastModifiedBy>Nick Constantine</cp:lastModifiedBy>
  <dcterms:created xsi:type="dcterms:W3CDTF">2026-07-02T18:07:31Z</dcterms:created>
  <dcterms:modified xsi:type="dcterms:W3CDTF">2026-07-02T18:12:39Z</dcterms:modified>
</cp:coreProperties>
</file>